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2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19.0"/>
  </cols>
  <sheetData>
    <row r="1">
      <c r="A1" s="1" t="str">
        <f>IFERROR(__xludf.DUMMYFUNCTION("QUERY(IMPORTRANGE(""1o4kGFTI80_EdoNgEzQs7R1-vO13rpAoNe3h9dk3MlSo"", ""AGEING_ANALYSIS!A1:W""), ""select * where lower(Col2) contains 'mahipal'"", 1)"),"Dealer Name ")</f>
        <v>Dealer Name </v>
      </c>
      <c r="B1" s="1" t="str">
        <f>IFERROR(__xludf.DUMMYFUNCTION("""COMPUTED_VALUE"""),"Executive/Agent")</f>
        <v>Executive/Agent</v>
      </c>
      <c r="C1" s="1" t="str">
        <f>IFERROR(__xludf.DUMMYFUNCTION("""COMPUTED_VALUE"""),"Contact Number")</f>
        <v>Contact Number</v>
      </c>
      <c r="D1" s="1" t="str">
        <f>IFERROR(__xludf.DUMMYFUNCTION("""COMPUTED_VALUE"""),"Outstanding")</f>
        <v>Outstanding</v>
      </c>
      <c r="E1" s="1" t="str">
        <f>IFERROR(__xludf.DUMMYFUNCTION("""COMPUTED_VALUE"""),"Max Overdue")</f>
        <v>Max Overdue</v>
      </c>
      <c r="F1" s="1" t="str">
        <f>IFERROR(__xludf.DUMMYFUNCTION("""COMPUTED_VALUE"""),"Credit Limit")</f>
        <v>Credit Limit</v>
      </c>
      <c r="G1" s="1" t="str">
        <f>IFERROR(__xludf.DUMMYFUNCTION("""COMPUTED_VALUE"""),"Risk Flag")</f>
        <v>Risk Flag</v>
      </c>
      <c r="H1" s="1" t="str">
        <f>IFERROR(__xludf.DUMMYFUNCTION("""COMPUTED_VALUE"""),"Risk Score")</f>
        <v>Risk Score</v>
      </c>
      <c r="I1" s="1" t="str">
        <f>IFERROR(__xludf.DUMMYFUNCTION("""COMPUTED_VALUE"""),"Behaviour")</f>
        <v>Behaviour</v>
      </c>
      <c r="J1" s="1" t="str">
        <f>IFERROR(__xludf.DUMMYFUNCTION("""COMPUTED_VALUE"""),"February 25")</f>
        <v>February 25</v>
      </c>
      <c r="K1" s="1" t="str">
        <f>IFERROR(__xludf.DUMMYFUNCTION("""COMPUTED_VALUE"""),"March 25")</f>
        <v>March 25</v>
      </c>
      <c r="L1" s="1" t="str">
        <f>IFERROR(__xludf.DUMMYFUNCTION("""COMPUTED_VALUE"""),"April 25")</f>
        <v>April 25</v>
      </c>
      <c r="M1" s="1" t="str">
        <f>IFERROR(__xludf.DUMMYFUNCTION("""COMPUTED_VALUE"""),"May 25")</f>
        <v>May 25</v>
      </c>
      <c r="N1" s="1" t="str">
        <f>IFERROR(__xludf.DUMMYFUNCTION("""COMPUTED_VALUE"""),"June 25")</f>
        <v>June 25</v>
      </c>
      <c r="O1" s="1" t="str">
        <f>IFERROR(__xludf.DUMMYFUNCTION("""COMPUTED_VALUE"""),"July 25")</f>
        <v>July 25</v>
      </c>
      <c r="P1" s="1" t="str">
        <f>IFERROR(__xludf.DUMMYFUNCTION("""COMPUTED_VALUE"""),"August 25")</f>
        <v>August 25</v>
      </c>
      <c r="Q1" s="1" t="str">
        <f>IFERROR(__xludf.DUMMYFUNCTION("""COMPUTED_VALUE"""),"September 25")</f>
        <v>September 25</v>
      </c>
      <c r="R1" s="1" t="str">
        <f>IFERROR(__xludf.DUMMYFUNCTION("""COMPUTED_VALUE"""),"October 25")</f>
        <v>October 25</v>
      </c>
      <c r="S1" s="1" t="str">
        <f>IFERROR(__xludf.DUMMYFUNCTION("""COMPUTED_VALUE"""),"November 25")</f>
        <v>November 25</v>
      </c>
      <c r="T1" s="1" t="str">
        <f>IFERROR(__xludf.DUMMYFUNCTION("""COMPUTED_VALUE"""),"December 25")</f>
        <v>December 25</v>
      </c>
      <c r="U1" s="1" t="str">
        <f>IFERROR(__xludf.DUMMYFUNCTION("""COMPUTED_VALUE"""),"January 26")</f>
        <v>January 26</v>
      </c>
      <c r="V1" s="1" t="str">
        <f>IFERROR(__xludf.DUMMYFUNCTION("""COMPUTED_VALUE"""),"February 26")</f>
        <v>February 26</v>
      </c>
      <c r="W1" s="1" t="str">
        <f>IFERROR(__xludf.DUMMYFUNCTION("""COMPUTED_VALUE"""),"March 26")</f>
        <v>March 26</v>
      </c>
    </row>
    <row r="2">
      <c r="A2" s="1" t="str">
        <f>IFERROR(__xludf.DUMMYFUNCTION("""COMPUTED_VALUE"""),"BALAJI COLLECTION")</f>
        <v>BALAJI COLLECTION</v>
      </c>
      <c r="B2" s="1" t="str">
        <f>IFERROR(__xludf.DUMMYFUNCTION("""COMPUTED_VALUE"""),"MAHIPAL SHEKHAWAT")</f>
        <v>MAHIPAL SHEKHAWAT</v>
      </c>
      <c r="C2" s="1">
        <f>IFERROR(__xludf.DUMMYFUNCTION("""COMPUTED_VALUE"""),9.938458366E9)</f>
        <v>9938458366</v>
      </c>
      <c r="D2" s="2">
        <f>IFERROR(__xludf.DUMMYFUNCTION("""COMPUTED_VALUE"""),76240.0)</f>
        <v>76240</v>
      </c>
      <c r="E2" s="1">
        <f>IFERROR(__xludf.DUMMYFUNCTION("""COMPUTED_VALUE"""),68.0)</f>
        <v>68</v>
      </c>
      <c r="F2" s="1">
        <f>IFERROR(__xludf.DUMMYFUNCTION("""COMPUTED_VALUE"""),300000.0)</f>
        <v>300000</v>
      </c>
      <c r="G2" s="1" t="str">
        <f>IFERROR(__xludf.DUMMYFUNCTION("""COMPUTED_VALUE"""),"NORMAL")</f>
        <v>NORMAL</v>
      </c>
      <c r="H2" s="1">
        <f>IFERROR(__xludf.DUMMYFUNCTION("""COMPUTED_VALUE"""),25.0)</f>
        <v>25</v>
      </c>
      <c r="I2" s="1" t="str">
        <f>IFERROR(__xludf.DUMMYFUNCTION("""COMPUTED_VALUE"""),"FALSE")</f>
        <v>FALSE</v>
      </c>
      <c r="J2" s="2"/>
      <c r="K2" s="2"/>
      <c r="L2" s="2"/>
      <c r="M2" s="2"/>
      <c r="N2" s="2"/>
      <c r="O2" s="1"/>
      <c r="P2" s="1"/>
      <c r="Q2" s="1"/>
      <c r="R2" s="1"/>
      <c r="S2" s="1"/>
      <c r="T2" s="1"/>
      <c r="U2" s="1">
        <f>IFERROR(__xludf.DUMMYFUNCTION("""COMPUTED_VALUE"""),76240.0)</f>
        <v>76240</v>
      </c>
      <c r="V2" s="1"/>
      <c r="W2" s="1"/>
    </row>
    <row r="3">
      <c r="A3" s="1" t="str">
        <f>IFERROR(__xludf.DUMMYFUNCTION("""COMPUTED_VALUE"""),"INVOGUE")</f>
        <v>INVOGUE</v>
      </c>
      <c r="B3" s="1" t="str">
        <f>IFERROR(__xludf.DUMMYFUNCTION("""COMPUTED_VALUE"""),"MAHIPAL SHEKHAWAT")</f>
        <v>MAHIPAL SHEKHAWAT</v>
      </c>
      <c r="C3" s="1">
        <f>IFERROR(__xludf.DUMMYFUNCTION("""COMPUTED_VALUE"""),9.829066101E9)</f>
        <v>9829066101</v>
      </c>
      <c r="D3" s="2">
        <f>IFERROR(__xludf.DUMMYFUNCTION("""COMPUTED_VALUE"""),41532.0)</f>
        <v>41532</v>
      </c>
      <c r="E3" s="1">
        <f>IFERROR(__xludf.DUMMYFUNCTION("""COMPUTED_VALUE"""),68.0)</f>
        <v>68</v>
      </c>
      <c r="F3" s="1">
        <f>IFERROR(__xludf.DUMMYFUNCTION("""COMPUTED_VALUE"""),300000.0)</f>
        <v>300000</v>
      </c>
      <c r="G3" s="1" t="str">
        <f>IFERROR(__xludf.DUMMYFUNCTION("""COMPUTED_VALUE"""),"NORMAL")</f>
        <v>NORMAL</v>
      </c>
      <c r="H3" s="1">
        <f>IFERROR(__xludf.DUMMYFUNCTION("""COMPUTED_VALUE"""),35.0)</f>
        <v>35</v>
      </c>
      <c r="I3" s="1" t="str">
        <f>IFERROR(__xludf.DUMMYFUNCTION("""COMPUTED_VALUE"""),"FALSE")</f>
        <v>FALSE</v>
      </c>
      <c r="J3" s="2"/>
      <c r="K3" s="2"/>
      <c r="L3" s="2"/>
      <c r="M3" s="2"/>
      <c r="N3" s="2"/>
      <c r="O3" s="1"/>
      <c r="P3" s="1"/>
      <c r="Q3" s="1"/>
      <c r="R3" s="1"/>
      <c r="S3" s="1"/>
      <c r="T3" s="1"/>
      <c r="U3" s="1">
        <f>IFERROR(__xludf.DUMMYFUNCTION("""COMPUTED_VALUE"""),41532.0)</f>
        <v>41532</v>
      </c>
      <c r="V3" s="1"/>
      <c r="W3" s="1"/>
    </row>
    <row r="4">
      <c r="A4" s="1" t="str">
        <f>IFERROR(__xludf.DUMMYFUNCTION("""COMPUTED_VALUE"""),"LUCKY TEXTILE")</f>
        <v>LUCKY TEXTILE</v>
      </c>
      <c r="B4" s="1" t="str">
        <f>IFERROR(__xludf.DUMMYFUNCTION("""COMPUTED_VALUE"""),"MAHIPAL SHEKHAWAT")</f>
        <v>MAHIPAL SHEKHAWAT</v>
      </c>
      <c r="C4" s="1">
        <f>IFERROR(__xludf.DUMMYFUNCTION("""COMPUTED_VALUE"""),9.882286659E9)</f>
        <v>9882286659</v>
      </c>
      <c r="D4" s="2">
        <f>IFERROR(__xludf.DUMMYFUNCTION("""COMPUTED_VALUE"""),140953.0)</f>
        <v>140953</v>
      </c>
      <c r="E4" s="1">
        <f>IFERROR(__xludf.DUMMYFUNCTION("""COMPUTED_VALUE"""),68.0)</f>
        <v>68</v>
      </c>
      <c r="F4" s="1">
        <f>IFERROR(__xludf.DUMMYFUNCTION("""COMPUTED_VALUE"""),300000.0)</f>
        <v>300000</v>
      </c>
      <c r="G4" s="1" t="str">
        <f>IFERROR(__xludf.DUMMYFUNCTION("""COMPUTED_VALUE"""),"NORMAL")</f>
        <v>NORMAL</v>
      </c>
      <c r="H4" s="1">
        <f>IFERROR(__xludf.DUMMYFUNCTION("""COMPUTED_VALUE"""),0.0)</f>
        <v>0</v>
      </c>
      <c r="I4" s="1" t="str">
        <f>IFERROR(__xludf.DUMMYFUNCTION("""COMPUTED_VALUE"""),"FALSE")</f>
        <v>FALSE</v>
      </c>
      <c r="J4" s="2"/>
      <c r="K4" s="2"/>
      <c r="L4" s="2"/>
      <c r="M4" s="2"/>
      <c r="N4" s="2"/>
      <c r="O4" s="1"/>
      <c r="P4" s="1"/>
      <c r="Q4" s="1"/>
      <c r="R4" s="1"/>
      <c r="S4" s="1"/>
      <c r="T4" s="1"/>
      <c r="U4" s="1">
        <f>IFERROR(__xludf.DUMMYFUNCTION("""COMPUTED_VALUE"""),140953.0)</f>
        <v>140953</v>
      </c>
      <c r="V4" s="1"/>
      <c r="W4" s="1"/>
    </row>
    <row r="5">
      <c r="A5" s="1" t="str">
        <f>IFERROR(__xludf.DUMMYFUNCTION("""COMPUTED_VALUE"""),"MASTER BROTHER'S")</f>
        <v>MASTER BROTHER'S</v>
      </c>
      <c r="B5" s="1" t="str">
        <f>IFERROR(__xludf.DUMMYFUNCTION("""COMPUTED_VALUE"""),"MAHIPAL SHEKHAWAT")</f>
        <v>MAHIPAL SHEKHAWAT</v>
      </c>
      <c r="C5" s="1">
        <f>IFERROR(__xludf.DUMMYFUNCTION("""COMPUTED_VALUE"""),8.005968139E9)</f>
        <v>8005968139</v>
      </c>
      <c r="D5" s="2">
        <f>IFERROR(__xludf.DUMMYFUNCTION("""COMPUTED_VALUE"""),64239.0)</f>
        <v>64239</v>
      </c>
      <c r="E5" s="1">
        <f>IFERROR(__xludf.DUMMYFUNCTION("""COMPUTED_VALUE"""),56.0)</f>
        <v>56</v>
      </c>
      <c r="F5" s="1">
        <f>IFERROR(__xludf.DUMMYFUNCTION("""COMPUTED_VALUE"""),300000.0)</f>
        <v>300000</v>
      </c>
      <c r="G5" s="1" t="str">
        <f>IFERROR(__xludf.DUMMYFUNCTION("""COMPUTED_VALUE"""),"NORMAL")</f>
        <v>NORMAL</v>
      </c>
      <c r="H5" s="1">
        <f>IFERROR(__xludf.DUMMYFUNCTION("""COMPUTED_VALUE"""),0.0)</f>
        <v>0</v>
      </c>
      <c r="I5" s="1" t="str">
        <f>IFERROR(__xludf.DUMMYFUNCTION("""COMPUTED_VALUE"""),"GOOD")</f>
        <v>GOOD</v>
      </c>
      <c r="J5" s="2"/>
      <c r="K5" s="2"/>
      <c r="L5" s="2"/>
      <c r="M5" s="2"/>
      <c r="N5" s="2"/>
      <c r="O5" s="1"/>
      <c r="P5" s="1"/>
      <c r="Q5" s="1"/>
      <c r="R5" s="1"/>
      <c r="S5" s="1"/>
      <c r="T5" s="1"/>
      <c r="U5" s="1">
        <f>IFERROR(__xludf.DUMMYFUNCTION("""COMPUTED_VALUE"""),64239.0)</f>
        <v>64239</v>
      </c>
      <c r="V5" s="1"/>
      <c r="W5" s="1"/>
    </row>
    <row r="6">
      <c r="A6" s="1" t="str">
        <f>IFERROR(__xludf.DUMMYFUNCTION("""COMPUTED_VALUE"""),"MY STYLE")</f>
        <v>MY STYLE</v>
      </c>
      <c r="B6" s="1" t="str">
        <f>IFERROR(__xludf.DUMMYFUNCTION("""COMPUTED_VALUE"""),"MAHIPAL SHEKHAWAT")</f>
        <v>MAHIPAL SHEKHAWAT</v>
      </c>
      <c r="C6" s="1">
        <f>IFERROR(__xludf.DUMMYFUNCTION("""COMPUTED_VALUE"""),9.54902E9)</f>
        <v>9549020000</v>
      </c>
      <c r="D6" s="2">
        <f>IFERROR(__xludf.DUMMYFUNCTION("""COMPUTED_VALUE"""),74674.0)</f>
        <v>74674</v>
      </c>
      <c r="E6" s="1">
        <f>IFERROR(__xludf.DUMMYFUNCTION("""COMPUTED_VALUE"""),56.0)</f>
        <v>56</v>
      </c>
      <c r="F6" s="1">
        <f>IFERROR(__xludf.DUMMYFUNCTION("""COMPUTED_VALUE"""),300000.0)</f>
        <v>300000</v>
      </c>
      <c r="G6" s="1" t="str">
        <f>IFERROR(__xludf.DUMMYFUNCTION("""COMPUTED_VALUE"""),"NORMAL")</f>
        <v>NORMAL</v>
      </c>
      <c r="H6" s="1">
        <f>IFERROR(__xludf.DUMMYFUNCTION("""COMPUTED_VALUE"""),0.0)</f>
        <v>0</v>
      </c>
      <c r="I6" s="1" t="str">
        <f>IFERROR(__xludf.DUMMYFUNCTION("""COMPUTED_VALUE"""),"GOOD")</f>
        <v>GOOD</v>
      </c>
      <c r="J6" s="2"/>
      <c r="K6" s="2"/>
      <c r="L6" s="2"/>
      <c r="M6" s="2"/>
      <c r="N6" s="2"/>
      <c r="O6" s="1"/>
      <c r="P6" s="1"/>
      <c r="Q6" s="1"/>
      <c r="R6" s="1"/>
      <c r="S6" s="1"/>
      <c r="T6" s="1"/>
      <c r="U6" s="1">
        <f>IFERROR(__xludf.DUMMYFUNCTION("""COMPUTED_VALUE"""),74674.0)</f>
        <v>74674</v>
      </c>
      <c r="V6" s="1"/>
      <c r="W6" s="1"/>
    </row>
    <row r="7">
      <c r="A7" s="1" t="str">
        <f>IFERROR(__xludf.DUMMYFUNCTION("""COMPUTED_VALUE"""),"SHREE JI COLLECTION")</f>
        <v>SHREE JI COLLECTION</v>
      </c>
      <c r="B7" s="1" t="str">
        <f>IFERROR(__xludf.DUMMYFUNCTION("""COMPUTED_VALUE"""),"MAHIPAL SHEKHAWAT")</f>
        <v>MAHIPAL SHEKHAWAT</v>
      </c>
      <c r="C7" s="1">
        <f>IFERROR(__xludf.DUMMYFUNCTION("""COMPUTED_VALUE"""),9.41422593E9)</f>
        <v>9414225930</v>
      </c>
      <c r="D7" s="2">
        <f>IFERROR(__xludf.DUMMYFUNCTION("""COMPUTED_VALUE"""),56186.0)</f>
        <v>56186</v>
      </c>
      <c r="E7" s="1">
        <f>IFERROR(__xludf.DUMMYFUNCTION("""COMPUTED_VALUE"""),55.0)</f>
        <v>55</v>
      </c>
      <c r="F7" s="1">
        <f>IFERROR(__xludf.DUMMYFUNCTION("""COMPUTED_VALUE"""),300000.0)</f>
        <v>300000</v>
      </c>
      <c r="G7" s="1" t="str">
        <f>IFERROR(__xludf.DUMMYFUNCTION("""COMPUTED_VALUE"""),"NORMAL")</f>
        <v>NORMAL</v>
      </c>
      <c r="H7" s="1">
        <f>IFERROR(__xludf.DUMMYFUNCTION("""COMPUTED_VALUE"""),0.0)</f>
        <v>0</v>
      </c>
      <c r="I7" s="1" t="str">
        <f>IFERROR(__xludf.DUMMYFUNCTION("""COMPUTED_VALUE"""),"GOOD")</f>
        <v>GOOD</v>
      </c>
      <c r="J7" s="2"/>
      <c r="K7" s="2"/>
      <c r="L7" s="2"/>
      <c r="M7" s="2"/>
      <c r="N7" s="2"/>
      <c r="O7" s="1"/>
      <c r="P7" s="1"/>
      <c r="Q7" s="1"/>
      <c r="R7" s="1"/>
      <c r="S7" s="1"/>
      <c r="T7" s="1"/>
      <c r="U7" s="1">
        <f>IFERROR(__xludf.DUMMYFUNCTION("""COMPUTED_VALUE"""),56186.0)</f>
        <v>56186</v>
      </c>
      <c r="V7" s="1"/>
      <c r="W7" s="1"/>
    </row>
    <row r="8">
      <c r="A8" s="1" t="str">
        <f>IFERROR(__xludf.DUMMYFUNCTION("""COMPUTED_VALUE"""),"CB RETAIL")</f>
        <v>CB RETAIL</v>
      </c>
      <c r="B8" s="1" t="str">
        <f>IFERROR(__xludf.DUMMYFUNCTION("""COMPUTED_VALUE"""),"MAHIPAL SHEKHAWAT")</f>
        <v>MAHIPAL SHEKHAWAT</v>
      </c>
      <c r="C8" s="1">
        <f>IFERROR(__xludf.DUMMYFUNCTION("""COMPUTED_VALUE"""),7.597704789E9)</f>
        <v>7597704789</v>
      </c>
      <c r="D8" s="2">
        <f>IFERROR(__xludf.DUMMYFUNCTION("""COMPUTED_VALUE"""),32258.0)</f>
        <v>32258</v>
      </c>
      <c r="E8" s="1">
        <f>IFERROR(__xludf.DUMMYFUNCTION("""COMPUTED_VALUE"""),49.0)</f>
        <v>49</v>
      </c>
      <c r="F8" s="1">
        <f>IFERROR(__xludf.DUMMYFUNCTION("""COMPUTED_VALUE"""),300000.0)</f>
        <v>300000</v>
      </c>
      <c r="G8" s="1" t="str">
        <f>IFERROR(__xludf.DUMMYFUNCTION("""COMPUTED_VALUE"""),"NORMAL")</f>
        <v>NORMAL</v>
      </c>
      <c r="H8" s="1">
        <f>IFERROR(__xludf.DUMMYFUNCTION("""COMPUTED_VALUE"""),0.0)</f>
        <v>0</v>
      </c>
      <c r="I8" s="1" t="str">
        <f>IFERROR(__xludf.DUMMYFUNCTION("""COMPUTED_VALUE"""),"GOOD")</f>
        <v>GOOD</v>
      </c>
      <c r="J8" s="2"/>
      <c r="K8" s="2"/>
      <c r="L8" s="2"/>
      <c r="M8" s="2"/>
      <c r="N8" s="2"/>
      <c r="O8" s="1"/>
      <c r="P8" s="1"/>
      <c r="Q8" s="1"/>
      <c r="R8" s="1"/>
      <c r="S8" s="1"/>
      <c r="T8" s="1"/>
      <c r="U8" s="1">
        <f>IFERROR(__xludf.DUMMYFUNCTION("""COMPUTED_VALUE"""),32258.0)</f>
        <v>32258</v>
      </c>
      <c r="V8" s="1"/>
      <c r="W8" s="1"/>
    </row>
    <row r="9">
      <c r="A9" s="1" t="str">
        <f>IFERROR(__xludf.DUMMYFUNCTION("""COMPUTED_VALUE"""),"INANIYAN BRANDS")</f>
        <v>INANIYAN BRANDS</v>
      </c>
      <c r="B9" s="1" t="str">
        <f>IFERROR(__xludf.DUMMYFUNCTION("""COMPUTED_VALUE"""),"MAHIPAL SHEKHAWAT")</f>
        <v>MAHIPAL SHEKHAWAT</v>
      </c>
      <c r="C9" s="1">
        <f>IFERROR(__xludf.DUMMYFUNCTION("""COMPUTED_VALUE"""),9.461161622E9)</f>
        <v>9461161622</v>
      </c>
      <c r="D9" s="2">
        <f>IFERROR(__xludf.DUMMYFUNCTION("""COMPUTED_VALUE"""),43021.0)</f>
        <v>43021</v>
      </c>
      <c r="E9" s="1">
        <f>IFERROR(__xludf.DUMMYFUNCTION("""COMPUTED_VALUE"""),49.0)</f>
        <v>49</v>
      </c>
      <c r="F9" s="1">
        <f>IFERROR(__xludf.DUMMYFUNCTION("""COMPUTED_VALUE"""),300000.0)</f>
        <v>300000</v>
      </c>
      <c r="G9" s="1" t="str">
        <f>IFERROR(__xludf.DUMMYFUNCTION("""COMPUTED_VALUE"""),"NORMAL")</f>
        <v>NORMAL</v>
      </c>
      <c r="H9" s="1">
        <f>IFERROR(__xludf.DUMMYFUNCTION("""COMPUTED_VALUE"""),0.0)</f>
        <v>0</v>
      </c>
      <c r="I9" s="1" t="str">
        <f>IFERROR(__xludf.DUMMYFUNCTION("""COMPUTED_VALUE"""),"GOOD")</f>
        <v>GOOD</v>
      </c>
      <c r="J9" s="2"/>
      <c r="K9" s="2"/>
      <c r="L9" s="2"/>
      <c r="M9" s="2"/>
      <c r="N9" s="2"/>
      <c r="O9" s="1"/>
      <c r="P9" s="1"/>
      <c r="Q9" s="1"/>
      <c r="R9" s="1"/>
      <c r="S9" s="1"/>
      <c r="T9" s="1"/>
      <c r="U9" s="1">
        <f>IFERROR(__xludf.DUMMYFUNCTION("""COMPUTED_VALUE"""),43021.0)</f>
        <v>43021</v>
      </c>
      <c r="V9" s="1"/>
      <c r="W9" s="1"/>
    </row>
    <row r="10">
      <c r="A10" s="1" t="str">
        <f>IFERROR(__xludf.DUMMYFUNCTION("""COMPUTED_VALUE"""),"JINDAL GARMENTS")</f>
        <v>JINDAL GARMENTS</v>
      </c>
      <c r="B10" s="1" t="str">
        <f>IFERROR(__xludf.DUMMYFUNCTION("""COMPUTED_VALUE"""),"MAHIPAL SHEKHAWAT")</f>
        <v>MAHIPAL SHEKHAWAT</v>
      </c>
      <c r="C10" s="1">
        <f>IFERROR(__xludf.DUMMYFUNCTION("""COMPUTED_VALUE"""),9.680105516E9)</f>
        <v>9680105516</v>
      </c>
      <c r="D10" s="2">
        <f>IFERROR(__xludf.DUMMYFUNCTION("""COMPUTED_VALUE"""),30890.0)</f>
        <v>30890</v>
      </c>
      <c r="E10" s="1">
        <f>IFERROR(__xludf.DUMMYFUNCTION("""COMPUTED_VALUE"""),49.0)</f>
        <v>49</v>
      </c>
      <c r="F10" s="1">
        <f>IFERROR(__xludf.DUMMYFUNCTION("""COMPUTED_VALUE"""),300000.0)</f>
        <v>300000</v>
      </c>
      <c r="G10" s="1" t="str">
        <f>IFERROR(__xludf.DUMMYFUNCTION("""COMPUTED_VALUE"""),"NORMAL")</f>
        <v>NORMAL</v>
      </c>
      <c r="H10" s="1">
        <f>IFERROR(__xludf.DUMMYFUNCTION("""COMPUTED_VALUE"""),0.0)</f>
        <v>0</v>
      </c>
      <c r="I10" s="1" t="str">
        <f>IFERROR(__xludf.DUMMYFUNCTION("""COMPUTED_VALUE"""),"GOOD")</f>
        <v>GOOD</v>
      </c>
      <c r="J10" s="2"/>
      <c r="K10" s="2"/>
      <c r="L10" s="2"/>
      <c r="M10" s="2"/>
      <c r="N10" s="2"/>
      <c r="O10" s="1"/>
      <c r="P10" s="1"/>
      <c r="Q10" s="1"/>
      <c r="R10" s="1"/>
      <c r="S10" s="1"/>
      <c r="T10" s="1"/>
      <c r="U10" s="1">
        <f>IFERROR(__xludf.DUMMYFUNCTION("""COMPUTED_VALUE"""),30890.0)</f>
        <v>30890</v>
      </c>
      <c r="V10" s="1"/>
      <c r="W10" s="1"/>
    </row>
    <row r="11">
      <c r="A11" s="1" t="str">
        <f>IFERROR(__xludf.DUMMYFUNCTION("""COMPUTED_VALUE"""),"NAKSHTRA-09")</f>
        <v>NAKSHTRA-09</v>
      </c>
      <c r="B11" s="1" t="str">
        <f>IFERROR(__xludf.DUMMYFUNCTION("""COMPUTED_VALUE"""),"MAHIPAL SHEKHAWAT")</f>
        <v>MAHIPAL SHEKHAWAT</v>
      </c>
      <c r="C11" s="1">
        <f>IFERROR(__xludf.DUMMYFUNCTION("""COMPUTED_VALUE"""),9.414768704E9)</f>
        <v>9414768704</v>
      </c>
      <c r="D11" s="2">
        <f>IFERROR(__xludf.DUMMYFUNCTION("""COMPUTED_VALUE"""),23192.0)</f>
        <v>23192</v>
      </c>
      <c r="E11" s="1">
        <f>IFERROR(__xludf.DUMMYFUNCTION("""COMPUTED_VALUE"""),49.0)</f>
        <v>49</v>
      </c>
      <c r="F11" s="1">
        <f>IFERROR(__xludf.DUMMYFUNCTION("""COMPUTED_VALUE"""),300000.0)</f>
        <v>300000</v>
      </c>
      <c r="G11" s="1" t="str">
        <f>IFERROR(__xludf.DUMMYFUNCTION("""COMPUTED_VALUE"""),"NORMAL")</f>
        <v>NORMAL</v>
      </c>
      <c r="H11" s="1">
        <f>IFERROR(__xludf.DUMMYFUNCTION("""COMPUTED_VALUE"""),0.0)</f>
        <v>0</v>
      </c>
      <c r="I11" s="1" t="str">
        <f>IFERROR(__xludf.DUMMYFUNCTION("""COMPUTED_VALUE"""),"GOOD")</f>
        <v>GOOD</v>
      </c>
      <c r="J11" s="2"/>
      <c r="K11" s="2"/>
      <c r="L11" s="2"/>
      <c r="M11" s="2"/>
      <c r="N11" s="2"/>
      <c r="O11" s="1"/>
      <c r="P11" s="1"/>
      <c r="Q11" s="1"/>
      <c r="R11" s="1"/>
      <c r="S11" s="1"/>
      <c r="T11" s="1"/>
      <c r="U11" s="1">
        <f>IFERROR(__xludf.DUMMYFUNCTION("""COMPUTED_VALUE"""),23192.0)</f>
        <v>23192</v>
      </c>
      <c r="V11" s="1"/>
      <c r="W11" s="1"/>
    </row>
    <row r="12">
      <c r="A12" s="1" t="str">
        <f>IFERROR(__xludf.DUMMYFUNCTION("""COMPUTED_VALUE"""),"SHREE B. L. FASHION STORE")</f>
        <v>SHREE B. L. FASHION STORE</v>
      </c>
      <c r="B12" s="1" t="str">
        <f>IFERROR(__xludf.DUMMYFUNCTION("""COMPUTED_VALUE"""),"MAHIPAL SHEKHAWAT")</f>
        <v>MAHIPAL SHEKHAWAT</v>
      </c>
      <c r="C12" s="1">
        <f>IFERROR(__xludf.DUMMYFUNCTION("""COMPUTED_VALUE"""),7.737303533E9)</f>
        <v>7737303533</v>
      </c>
      <c r="D12" s="2">
        <f>IFERROR(__xludf.DUMMYFUNCTION("""COMPUTED_VALUE"""),47868.0)</f>
        <v>47868</v>
      </c>
      <c r="E12" s="1">
        <f>IFERROR(__xludf.DUMMYFUNCTION("""COMPUTED_VALUE"""),49.0)</f>
        <v>49</v>
      </c>
      <c r="F12" s="1">
        <f>IFERROR(__xludf.DUMMYFUNCTION("""COMPUTED_VALUE"""),300000.0)</f>
        <v>300000</v>
      </c>
      <c r="G12" s="1" t="str">
        <f>IFERROR(__xludf.DUMMYFUNCTION("""COMPUTED_VALUE"""),"NORMAL")</f>
        <v>NORMAL</v>
      </c>
      <c r="H12" s="1">
        <f>IFERROR(__xludf.DUMMYFUNCTION("""COMPUTED_VALUE"""),0.0)</f>
        <v>0</v>
      </c>
      <c r="I12" s="1" t="str">
        <f>IFERROR(__xludf.DUMMYFUNCTION("""COMPUTED_VALUE"""),"GOOD")</f>
        <v>GOOD</v>
      </c>
      <c r="J12" s="2"/>
      <c r="K12" s="2"/>
      <c r="L12" s="2"/>
      <c r="M12" s="2"/>
      <c r="N12" s="2"/>
      <c r="O12" s="1"/>
      <c r="P12" s="1"/>
      <c r="Q12" s="1"/>
      <c r="R12" s="1"/>
      <c r="S12" s="1"/>
      <c r="T12" s="1"/>
      <c r="U12" s="1">
        <f>IFERROR(__xludf.DUMMYFUNCTION("""COMPUTED_VALUE"""),47868.0)</f>
        <v>47868</v>
      </c>
      <c r="V12" s="1"/>
      <c r="W12" s="1"/>
    </row>
    <row r="13">
      <c r="A13" s="1" t="str">
        <f>IFERROR(__xludf.DUMMYFUNCTION("""COMPUTED_VALUE"""),"VINAYAK PARIDHAN")</f>
        <v>VINAYAK PARIDHAN</v>
      </c>
      <c r="B13" s="1" t="str">
        <f>IFERROR(__xludf.DUMMYFUNCTION("""COMPUTED_VALUE"""),"MAHIPAL SHEKHAWAT")</f>
        <v>MAHIPAL SHEKHAWAT</v>
      </c>
      <c r="C13" s="1">
        <f>IFERROR(__xludf.DUMMYFUNCTION("""COMPUTED_VALUE"""),9.828416088E9)</f>
        <v>9828416088</v>
      </c>
      <c r="D13" s="2">
        <f>IFERROR(__xludf.DUMMYFUNCTION("""COMPUTED_VALUE"""),37911.0)</f>
        <v>37911</v>
      </c>
      <c r="E13" s="1">
        <f>IFERROR(__xludf.DUMMYFUNCTION("""COMPUTED_VALUE"""),49.0)</f>
        <v>49</v>
      </c>
      <c r="F13" s="1">
        <f>IFERROR(__xludf.DUMMYFUNCTION("""COMPUTED_VALUE"""),300000.0)</f>
        <v>300000</v>
      </c>
      <c r="G13" s="1" t="str">
        <f>IFERROR(__xludf.DUMMYFUNCTION("""COMPUTED_VALUE"""),"NORMAL")</f>
        <v>NORMAL</v>
      </c>
      <c r="H13" s="1">
        <f>IFERROR(__xludf.DUMMYFUNCTION("""COMPUTED_VALUE"""),0.0)</f>
        <v>0</v>
      </c>
      <c r="I13" s="1" t="str">
        <f>IFERROR(__xludf.DUMMYFUNCTION("""COMPUTED_VALUE"""),"GOOD")</f>
        <v>GOOD</v>
      </c>
      <c r="J13" s="2"/>
      <c r="K13" s="2"/>
      <c r="L13" s="2"/>
      <c r="M13" s="2"/>
      <c r="N13" s="2"/>
      <c r="O13" s="1"/>
      <c r="P13" s="1"/>
      <c r="Q13" s="1"/>
      <c r="R13" s="1"/>
      <c r="S13" s="1"/>
      <c r="T13" s="1"/>
      <c r="U13" s="1">
        <f>IFERROR(__xludf.DUMMYFUNCTION("""COMPUTED_VALUE"""),37911.0)</f>
        <v>37911</v>
      </c>
      <c r="V13" s="1"/>
      <c r="W13" s="1"/>
    </row>
    <row r="14">
      <c r="A14" s="1" t="str">
        <f>IFERROR(__xludf.DUMMYFUNCTION("""COMPUTED_VALUE"""),"A.K. FASHION")</f>
        <v>A.K. FASHION</v>
      </c>
      <c r="B14" s="1" t="str">
        <f>IFERROR(__xludf.DUMMYFUNCTION("""COMPUTED_VALUE"""),"MAHIPAL SHEKHAWAT")</f>
        <v>MAHIPAL SHEKHAWAT</v>
      </c>
      <c r="C14" s="1">
        <f>IFERROR(__xludf.DUMMYFUNCTION("""COMPUTED_VALUE"""),9.95077807E9)</f>
        <v>9950778070</v>
      </c>
      <c r="D14" s="2">
        <f>IFERROR(__xludf.DUMMYFUNCTION("""COMPUTED_VALUE"""),45016.0)</f>
        <v>45016</v>
      </c>
      <c r="E14" s="1">
        <f>IFERROR(__xludf.DUMMYFUNCTION("""COMPUTED_VALUE"""),46.0)</f>
        <v>46</v>
      </c>
      <c r="F14" s="1">
        <f>IFERROR(__xludf.DUMMYFUNCTION("""COMPUTED_VALUE"""),300000.0)</f>
        <v>300000</v>
      </c>
      <c r="G14" s="1" t="str">
        <f>IFERROR(__xludf.DUMMYFUNCTION("""COMPUTED_VALUE"""),"NORMAL")</f>
        <v>NORMAL</v>
      </c>
      <c r="H14" s="1">
        <f>IFERROR(__xludf.DUMMYFUNCTION("""COMPUTED_VALUE"""),0.0)</f>
        <v>0</v>
      </c>
      <c r="I14" s="1" t="str">
        <f>IFERROR(__xludf.DUMMYFUNCTION("""COMPUTED_VALUE"""),"GOOD")</f>
        <v>GOOD</v>
      </c>
      <c r="J14" s="2"/>
      <c r="K14" s="2"/>
      <c r="L14" s="2"/>
      <c r="M14" s="2"/>
      <c r="N14" s="2"/>
      <c r="O14" s="1"/>
      <c r="P14" s="1"/>
      <c r="Q14" s="1"/>
      <c r="R14" s="1"/>
      <c r="S14" s="1"/>
      <c r="T14" s="1"/>
      <c r="U14" s="1">
        <f>IFERROR(__xludf.DUMMYFUNCTION("""COMPUTED_VALUE"""),45016.0)</f>
        <v>45016</v>
      </c>
      <c r="V14" s="1"/>
      <c r="W14" s="1"/>
    </row>
    <row r="15">
      <c r="A15" s="1" t="str">
        <f>IFERROR(__xludf.DUMMYFUNCTION("""COMPUTED_VALUE"""),"ARJUN COLLECTION")</f>
        <v>ARJUN COLLECTION</v>
      </c>
      <c r="B15" s="1" t="str">
        <f>IFERROR(__xludf.DUMMYFUNCTION("""COMPUTED_VALUE"""),"MAHIPAL SHEKHAWAT")</f>
        <v>MAHIPAL SHEKHAWAT</v>
      </c>
      <c r="C15" s="1">
        <f>IFERROR(__xludf.DUMMYFUNCTION("""COMPUTED_VALUE"""),9.660666461E9)</f>
        <v>9660666461</v>
      </c>
      <c r="D15" s="2">
        <f>IFERROR(__xludf.DUMMYFUNCTION("""COMPUTED_VALUE"""),51275.0)</f>
        <v>51275</v>
      </c>
      <c r="E15" s="1">
        <f>IFERROR(__xludf.DUMMYFUNCTION("""COMPUTED_VALUE"""),46.0)</f>
        <v>46</v>
      </c>
      <c r="F15" s="1">
        <f>IFERROR(__xludf.DUMMYFUNCTION("""COMPUTED_VALUE"""),300000.0)</f>
        <v>300000</v>
      </c>
      <c r="G15" s="1" t="str">
        <f>IFERROR(__xludf.DUMMYFUNCTION("""COMPUTED_VALUE"""),"NORMAL")</f>
        <v>NORMAL</v>
      </c>
      <c r="H15" s="1">
        <f>IFERROR(__xludf.DUMMYFUNCTION("""COMPUTED_VALUE"""),0.0)</f>
        <v>0</v>
      </c>
      <c r="I15" s="1" t="str">
        <f>IFERROR(__xludf.DUMMYFUNCTION("""COMPUTED_VALUE"""),"GOOD")</f>
        <v>GOOD</v>
      </c>
      <c r="J15" s="2"/>
      <c r="K15" s="2"/>
      <c r="L15" s="2"/>
      <c r="M15" s="2"/>
      <c r="N15" s="2"/>
      <c r="O15" s="1"/>
      <c r="P15" s="1"/>
      <c r="Q15" s="1"/>
      <c r="R15" s="1"/>
      <c r="S15" s="1"/>
      <c r="T15" s="1"/>
      <c r="U15" s="1">
        <f>IFERROR(__xludf.DUMMYFUNCTION("""COMPUTED_VALUE"""),51275.0)</f>
        <v>51275</v>
      </c>
      <c r="V15" s="1"/>
      <c r="W15" s="1"/>
    </row>
    <row r="16">
      <c r="A16" s="1" t="str">
        <f>IFERROR(__xludf.DUMMYFUNCTION("""COMPUTED_VALUE"""),"MAHARANI RAJWADI")</f>
        <v>MAHARANI RAJWADI</v>
      </c>
      <c r="B16" s="1" t="str">
        <f>IFERROR(__xludf.DUMMYFUNCTION("""COMPUTED_VALUE"""),"MAHIPAL SHEKHAWAT")</f>
        <v>MAHIPAL SHEKHAWAT</v>
      </c>
      <c r="C16" s="1">
        <f>IFERROR(__xludf.DUMMYFUNCTION("""COMPUTED_VALUE"""),9.828338817E9)</f>
        <v>9828338817</v>
      </c>
      <c r="D16" s="2">
        <f>IFERROR(__xludf.DUMMYFUNCTION("""COMPUTED_VALUE"""),49057.0)</f>
        <v>49057</v>
      </c>
      <c r="E16" s="1">
        <f>IFERROR(__xludf.DUMMYFUNCTION("""COMPUTED_VALUE"""),46.0)</f>
        <v>46</v>
      </c>
      <c r="F16" s="1">
        <f>IFERROR(__xludf.DUMMYFUNCTION("""COMPUTED_VALUE"""),300000.0)</f>
        <v>300000</v>
      </c>
      <c r="G16" s="1" t="str">
        <f>IFERROR(__xludf.DUMMYFUNCTION("""COMPUTED_VALUE"""),"NORMAL")</f>
        <v>NORMAL</v>
      </c>
      <c r="H16" s="1">
        <f>IFERROR(__xludf.DUMMYFUNCTION("""COMPUTED_VALUE"""),0.0)</f>
        <v>0</v>
      </c>
      <c r="I16" s="1" t="str">
        <f>IFERROR(__xludf.DUMMYFUNCTION("""COMPUTED_VALUE"""),"GOOD")</f>
        <v>GOOD</v>
      </c>
      <c r="J16" s="2"/>
      <c r="K16" s="2"/>
      <c r="L16" s="2"/>
      <c r="M16" s="2"/>
      <c r="N16" s="2"/>
      <c r="O16" s="1"/>
      <c r="P16" s="1"/>
      <c r="Q16" s="1"/>
      <c r="R16" s="1"/>
      <c r="S16" s="1"/>
      <c r="T16" s="1"/>
      <c r="U16" s="1">
        <f>IFERROR(__xludf.DUMMYFUNCTION("""COMPUTED_VALUE"""),49057.0)</f>
        <v>49057</v>
      </c>
      <c r="V16" s="1"/>
      <c r="W16" s="1"/>
    </row>
    <row r="17">
      <c r="A17" s="1" t="str">
        <f>IFERROR(__xludf.DUMMYFUNCTION("""COMPUTED_VALUE"""),"PRAGATI BRAND STORE")</f>
        <v>PRAGATI BRAND STORE</v>
      </c>
      <c r="B17" s="1" t="str">
        <f>IFERROR(__xludf.DUMMYFUNCTION("""COMPUTED_VALUE"""),"MAHIPAL SHEKHAWAT")</f>
        <v>MAHIPAL SHEKHAWAT</v>
      </c>
      <c r="C17" s="1">
        <f>IFERROR(__xludf.DUMMYFUNCTION("""COMPUTED_VALUE"""),9.799863507E9)</f>
        <v>9799863507</v>
      </c>
      <c r="D17" s="2">
        <f>IFERROR(__xludf.DUMMYFUNCTION("""COMPUTED_VALUE"""),34263.0)</f>
        <v>34263</v>
      </c>
      <c r="E17" s="1">
        <f>IFERROR(__xludf.DUMMYFUNCTION("""COMPUTED_VALUE"""),46.0)</f>
        <v>46</v>
      </c>
      <c r="F17" s="1">
        <f>IFERROR(__xludf.DUMMYFUNCTION("""COMPUTED_VALUE"""),300000.0)</f>
        <v>300000</v>
      </c>
      <c r="G17" s="1" t="str">
        <f>IFERROR(__xludf.DUMMYFUNCTION("""COMPUTED_VALUE"""),"NORMAL")</f>
        <v>NORMAL</v>
      </c>
      <c r="H17" s="1">
        <f>IFERROR(__xludf.DUMMYFUNCTION("""COMPUTED_VALUE"""),0.0)</f>
        <v>0</v>
      </c>
      <c r="I17" s="1" t="str">
        <f>IFERROR(__xludf.DUMMYFUNCTION("""COMPUTED_VALUE"""),"GOOD")</f>
        <v>GOOD</v>
      </c>
      <c r="J17" s="2"/>
      <c r="K17" s="2"/>
      <c r="L17" s="2"/>
      <c r="M17" s="2"/>
      <c r="N17" s="2"/>
      <c r="O17" s="1"/>
      <c r="P17" s="1"/>
      <c r="Q17" s="1"/>
      <c r="R17" s="1"/>
      <c r="S17" s="1"/>
      <c r="T17" s="1"/>
      <c r="U17" s="1">
        <f>IFERROR(__xludf.DUMMYFUNCTION("""COMPUTED_VALUE"""),34263.0)</f>
        <v>34263</v>
      </c>
      <c r="V17" s="1"/>
      <c r="W17" s="1"/>
    </row>
  </sheetData>
  <drawing r:id="rId1"/>
</worksheet>
</file>
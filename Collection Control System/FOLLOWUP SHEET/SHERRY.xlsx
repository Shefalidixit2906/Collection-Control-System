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1" t="str">
        <f>IFERROR(__xludf.DUMMYFUNCTION("QUERY(IMPORTRANGE(""1o4kGFTI80_EdoNgEzQs7R1-vO13rpAoNe3h9dk3MlSo"", ""AGEING_ANALYSIS!A1:W""), ""select * where lower(Col2) contains 'sherry'"", 1)"),"Dealer Name ")</f>
        <v>Dealer Name </v>
      </c>
      <c r="B1" s="1" t="str">
        <f>IFERROR(__xludf.DUMMYFUNCTION("""COMPUTED_VALUE"""),"Executive/Agent")</f>
        <v>Executive/Agent</v>
      </c>
      <c r="C1" s="1" t="str">
        <f>IFERROR(__xludf.DUMMYFUNCTION("""COMPUTED_VALUE"""),"Contact Number")</f>
        <v>Contact Number</v>
      </c>
      <c r="D1" s="1" t="str">
        <f>IFERROR(__xludf.DUMMYFUNCTION("""COMPUTED_VALUE"""),"Outstanding")</f>
        <v>Outstanding</v>
      </c>
      <c r="E1" s="1" t="str">
        <f>IFERROR(__xludf.DUMMYFUNCTION("""COMPUTED_VALUE"""),"Max Overdue")</f>
        <v>Max Overdue</v>
      </c>
      <c r="F1" s="1" t="str">
        <f>IFERROR(__xludf.DUMMYFUNCTION("""COMPUTED_VALUE"""),"Credit Limit")</f>
        <v>Credit Limit</v>
      </c>
      <c r="G1" s="1" t="str">
        <f>IFERROR(__xludf.DUMMYFUNCTION("""COMPUTED_VALUE"""),"Risk Flag")</f>
        <v>Risk Flag</v>
      </c>
      <c r="H1" s="1" t="str">
        <f>IFERROR(__xludf.DUMMYFUNCTION("""COMPUTED_VALUE"""),"Risk Score")</f>
        <v>Risk Score</v>
      </c>
      <c r="I1" s="1" t="str">
        <f>IFERROR(__xludf.DUMMYFUNCTION("""COMPUTED_VALUE"""),"Behaviour")</f>
        <v>Behaviour</v>
      </c>
      <c r="J1" s="1" t="str">
        <f>IFERROR(__xludf.DUMMYFUNCTION("""COMPUTED_VALUE"""),"February 25")</f>
        <v>February 25</v>
      </c>
      <c r="K1" s="1" t="str">
        <f>IFERROR(__xludf.DUMMYFUNCTION("""COMPUTED_VALUE"""),"March 25")</f>
        <v>March 25</v>
      </c>
      <c r="L1" s="1" t="str">
        <f>IFERROR(__xludf.DUMMYFUNCTION("""COMPUTED_VALUE"""),"April 25")</f>
        <v>April 25</v>
      </c>
      <c r="M1" s="1" t="str">
        <f>IFERROR(__xludf.DUMMYFUNCTION("""COMPUTED_VALUE"""),"May 25")</f>
        <v>May 25</v>
      </c>
      <c r="N1" s="1" t="str">
        <f>IFERROR(__xludf.DUMMYFUNCTION("""COMPUTED_VALUE"""),"June 25")</f>
        <v>June 25</v>
      </c>
      <c r="O1" s="1" t="str">
        <f>IFERROR(__xludf.DUMMYFUNCTION("""COMPUTED_VALUE"""),"July 25")</f>
        <v>July 25</v>
      </c>
      <c r="P1" s="1" t="str">
        <f>IFERROR(__xludf.DUMMYFUNCTION("""COMPUTED_VALUE"""),"August 25")</f>
        <v>August 25</v>
      </c>
      <c r="Q1" s="1" t="str">
        <f>IFERROR(__xludf.DUMMYFUNCTION("""COMPUTED_VALUE"""),"September 25")</f>
        <v>September 25</v>
      </c>
      <c r="R1" s="1" t="str">
        <f>IFERROR(__xludf.DUMMYFUNCTION("""COMPUTED_VALUE"""),"October 25")</f>
        <v>October 25</v>
      </c>
      <c r="S1" s="1" t="str">
        <f>IFERROR(__xludf.DUMMYFUNCTION("""COMPUTED_VALUE"""),"November 25")</f>
        <v>November 25</v>
      </c>
      <c r="T1" s="1" t="str">
        <f>IFERROR(__xludf.DUMMYFUNCTION("""COMPUTED_VALUE"""),"December 25")</f>
        <v>December 25</v>
      </c>
      <c r="U1" s="1" t="str">
        <f>IFERROR(__xludf.DUMMYFUNCTION("""COMPUTED_VALUE"""),"January 26")</f>
        <v>January 26</v>
      </c>
      <c r="V1" s="1" t="str">
        <f>IFERROR(__xludf.DUMMYFUNCTION("""COMPUTED_VALUE"""),"February 26")</f>
        <v>February 26</v>
      </c>
      <c r="W1" s="1" t="str">
        <f>IFERROR(__xludf.DUMMYFUNCTION("""COMPUTED_VALUE"""),"March 26")</f>
        <v>March 26</v>
      </c>
    </row>
    <row r="2">
      <c r="A2" s="2" t="str">
        <f>IFERROR(__xludf.DUMMYFUNCTION("""COMPUTED_VALUE"""),"CHANDRA READYMADE GARMENTS")</f>
        <v>CHANDRA READYMADE GARMENTS</v>
      </c>
      <c r="B2" s="2" t="str">
        <f>IFERROR(__xludf.DUMMYFUNCTION("""COMPUTED_VALUE"""),"SHERRY")</f>
        <v>SHERRY</v>
      </c>
      <c r="C2" s="2">
        <f>IFERROR(__xludf.DUMMYFUNCTION("""COMPUTED_VALUE"""),9.837054205E9)</f>
        <v>9837054205</v>
      </c>
      <c r="D2" s="3">
        <f>IFERROR(__xludf.DUMMYFUNCTION("""COMPUTED_VALUE"""),97364.0)</f>
        <v>97364</v>
      </c>
      <c r="E2" s="2">
        <f>IFERROR(__xludf.DUMMYFUNCTION("""COMPUTED_VALUE"""),36.0)</f>
        <v>36</v>
      </c>
      <c r="F2" s="2">
        <f>IFERROR(__xludf.DUMMYFUNCTION("""COMPUTED_VALUE"""),200000.0)</f>
        <v>200000</v>
      </c>
      <c r="G2" s="2" t="str">
        <f>IFERROR(__xludf.DUMMYFUNCTION("""COMPUTED_VALUE"""),"NORMAL")</f>
        <v>NORMAL</v>
      </c>
      <c r="H2" s="2">
        <f>IFERROR(__xludf.DUMMYFUNCTION("""COMPUTED_VALUE"""),0.0)</f>
        <v>0</v>
      </c>
      <c r="I2" s="2" t="str">
        <f>IFERROR(__xludf.DUMMYFUNCTION("""COMPUTED_VALUE"""),"GOOD")</f>
        <v>GOOD</v>
      </c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>
        <f>IFERROR(__xludf.DUMMYFUNCTION("""COMPUTED_VALUE"""),97364.0)</f>
        <v>97364</v>
      </c>
      <c r="W2" s="2"/>
    </row>
    <row r="3">
      <c r="A3" s="2" t="str">
        <f>IFERROR(__xludf.DUMMYFUNCTION("""COMPUTED_VALUE"""),"LIFE AND STYLE")</f>
        <v>LIFE AND STYLE</v>
      </c>
      <c r="B3" s="2" t="str">
        <f>IFERROR(__xludf.DUMMYFUNCTION("""COMPUTED_VALUE"""),"SHERRY")</f>
        <v>SHERRY</v>
      </c>
      <c r="C3" s="2">
        <f>IFERROR(__xludf.DUMMYFUNCTION("""COMPUTED_VALUE"""),9.927979311E9)</f>
        <v>9927979311</v>
      </c>
      <c r="D3" s="3">
        <f>IFERROR(__xludf.DUMMYFUNCTION("""COMPUTED_VALUE"""),45154.0)</f>
        <v>45154</v>
      </c>
      <c r="E3" s="2">
        <f>IFERROR(__xludf.DUMMYFUNCTION("""COMPUTED_VALUE"""),36.0)</f>
        <v>36</v>
      </c>
      <c r="F3" s="2">
        <f>IFERROR(__xludf.DUMMYFUNCTION("""COMPUTED_VALUE"""),200000.0)</f>
        <v>200000</v>
      </c>
      <c r="G3" s="2" t="str">
        <f>IFERROR(__xludf.DUMMYFUNCTION("""COMPUTED_VALUE"""),"NORMAL")</f>
        <v>NORMAL</v>
      </c>
      <c r="H3" s="2">
        <f>IFERROR(__xludf.DUMMYFUNCTION("""COMPUTED_VALUE"""),0.0)</f>
        <v>0</v>
      </c>
      <c r="I3" s="2" t="str">
        <f>IFERROR(__xludf.DUMMYFUNCTION("""COMPUTED_VALUE"""),"GOOD")</f>
        <v>GOOD</v>
      </c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>
        <f>IFERROR(__xludf.DUMMYFUNCTION("""COMPUTED_VALUE"""),45154.0)</f>
        <v>45154</v>
      </c>
      <c r="W3" s="2"/>
    </row>
    <row r="4">
      <c r="A4" s="2" t="str">
        <f>IFERROR(__xludf.DUMMYFUNCTION("""COMPUTED_VALUE"""),"NANAK FASHION POINT")</f>
        <v>NANAK FASHION POINT</v>
      </c>
      <c r="B4" s="2" t="str">
        <f>IFERROR(__xludf.DUMMYFUNCTION("""COMPUTED_VALUE"""),"SHERRY")</f>
        <v>SHERRY</v>
      </c>
      <c r="C4" s="2">
        <f>IFERROR(__xludf.DUMMYFUNCTION("""COMPUTED_VALUE"""),9.756300004E9)</f>
        <v>9756300004</v>
      </c>
      <c r="D4" s="3">
        <f>IFERROR(__xludf.DUMMYFUNCTION("""COMPUTED_VALUE"""),77712.0)</f>
        <v>77712</v>
      </c>
      <c r="E4" s="2">
        <f>IFERROR(__xludf.DUMMYFUNCTION("""COMPUTED_VALUE"""),25.0)</f>
        <v>25</v>
      </c>
      <c r="F4" s="2">
        <f>IFERROR(__xludf.DUMMYFUNCTION("""COMPUTED_VALUE"""),200000.0)</f>
        <v>200000</v>
      </c>
      <c r="G4" s="2" t="str">
        <f>IFERROR(__xludf.DUMMYFUNCTION("""COMPUTED_VALUE"""),"NORMAL")</f>
        <v>NORMAL</v>
      </c>
      <c r="H4" s="2">
        <f>IFERROR(__xludf.DUMMYFUNCTION("""COMPUTED_VALUE"""),0.0)</f>
        <v>0</v>
      </c>
      <c r="I4" s="2" t="str">
        <f>IFERROR(__xludf.DUMMYFUNCTION("""COMPUTED_VALUE"""),"GOOD")</f>
        <v>GOOD</v>
      </c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>
        <f>IFERROR(__xludf.DUMMYFUNCTION("""COMPUTED_VALUE"""),44672.0)</f>
        <v>44672</v>
      </c>
      <c r="W4" s="2">
        <f>IFERROR(__xludf.DUMMYFUNCTION("""COMPUTED_VALUE"""),33040.0)</f>
        <v>33040</v>
      </c>
    </row>
    <row r="5">
      <c r="A5" s="2" t="str">
        <f>IFERROR(__xludf.DUMMYFUNCTION("""COMPUTED_VALUE"""),"CASH BROTHER'S")</f>
        <v>CASH BROTHER'S</v>
      </c>
      <c r="B5" s="2" t="str">
        <f>IFERROR(__xludf.DUMMYFUNCTION("""COMPUTED_VALUE"""),"SHERRY")</f>
        <v>SHERRY</v>
      </c>
      <c r="C5" s="2">
        <f>IFERROR(__xludf.DUMMYFUNCTION("""COMPUTED_VALUE"""),9.259390935E9)</f>
        <v>9259390935</v>
      </c>
      <c r="D5" s="3">
        <f>IFERROR(__xludf.DUMMYFUNCTION("""COMPUTED_VALUE"""),35803.0)</f>
        <v>35803</v>
      </c>
      <c r="E5" s="2">
        <f>IFERROR(__xludf.DUMMYFUNCTION("""COMPUTED_VALUE"""),22.0)</f>
        <v>22</v>
      </c>
      <c r="F5" s="2">
        <f>IFERROR(__xludf.DUMMYFUNCTION("""COMPUTED_VALUE"""),200000.0)</f>
        <v>200000</v>
      </c>
      <c r="G5" s="2" t="str">
        <f>IFERROR(__xludf.DUMMYFUNCTION("""COMPUTED_VALUE"""),"NORMAL")</f>
        <v>NORMAL</v>
      </c>
      <c r="H5" s="2">
        <f>IFERROR(__xludf.DUMMYFUNCTION("""COMPUTED_VALUE"""),0.0)</f>
        <v>0</v>
      </c>
      <c r="I5" s="2" t="str">
        <f>IFERROR(__xludf.DUMMYFUNCTION("""COMPUTED_VALUE"""),"GOOD")</f>
        <v>GOOD</v>
      </c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>
        <f>IFERROR(__xludf.DUMMYFUNCTION("""COMPUTED_VALUE"""),35803.0)</f>
        <v>35803</v>
      </c>
      <c r="W5" s="2"/>
    </row>
    <row r="6">
      <c r="A6" s="2" t="str">
        <f>IFERROR(__xludf.DUMMYFUNCTION("""COMPUTED_VALUE"""),"DIKTIYA GARMENTS")</f>
        <v>DIKTIYA GARMENTS</v>
      </c>
      <c r="B6" s="2" t="str">
        <f>IFERROR(__xludf.DUMMYFUNCTION("""COMPUTED_VALUE"""),"SHERRY")</f>
        <v>SHERRY</v>
      </c>
      <c r="C6" s="2">
        <f>IFERROR(__xludf.DUMMYFUNCTION("""COMPUTED_VALUE"""),9.41292552E9)</f>
        <v>9412925520</v>
      </c>
      <c r="D6" s="3">
        <f>IFERROR(__xludf.DUMMYFUNCTION("""COMPUTED_VALUE"""),41924.0)</f>
        <v>41924</v>
      </c>
      <c r="E6" s="2">
        <f>IFERROR(__xludf.DUMMYFUNCTION("""COMPUTED_VALUE"""),22.0)</f>
        <v>22</v>
      </c>
      <c r="F6" s="2">
        <f>IFERROR(__xludf.DUMMYFUNCTION("""COMPUTED_VALUE"""),200000.0)</f>
        <v>200000</v>
      </c>
      <c r="G6" s="2" t="str">
        <f>IFERROR(__xludf.DUMMYFUNCTION("""COMPUTED_VALUE"""),"NORMAL")</f>
        <v>NORMAL</v>
      </c>
      <c r="H6" s="2">
        <f>IFERROR(__xludf.DUMMYFUNCTION("""COMPUTED_VALUE"""),0.0)</f>
        <v>0</v>
      </c>
      <c r="I6" s="2" t="str">
        <f>IFERROR(__xludf.DUMMYFUNCTION("""COMPUTED_VALUE"""),"GOOD")</f>
        <v>GOOD</v>
      </c>
      <c r="J6" s="3"/>
      <c r="K6" s="3"/>
      <c r="L6" s="3"/>
      <c r="M6" s="3"/>
      <c r="N6" s="3"/>
      <c r="O6" s="2"/>
      <c r="P6" s="2"/>
      <c r="Q6" s="2"/>
      <c r="R6" s="2"/>
      <c r="S6" s="2"/>
      <c r="T6" s="2"/>
      <c r="U6" s="2"/>
      <c r="V6" s="2">
        <f>IFERROR(__xludf.DUMMYFUNCTION("""COMPUTED_VALUE"""),41924.0)</f>
        <v>41924</v>
      </c>
      <c r="W6" s="2"/>
    </row>
    <row r="7">
      <c r="A7" s="2" t="str">
        <f>IFERROR(__xludf.DUMMYFUNCTION("""COMPUTED_VALUE"""),"KHAWAJA GARMENTS  TANAKPUR")</f>
        <v>KHAWAJA GARMENTS  TANAKPUR</v>
      </c>
      <c r="B7" s="2" t="str">
        <f>IFERROR(__xludf.DUMMYFUNCTION("""COMPUTED_VALUE"""),"SHERRY")</f>
        <v>SHERRY</v>
      </c>
      <c r="C7" s="2">
        <f>IFERROR(__xludf.DUMMYFUNCTION("""COMPUTED_VALUE"""),8.433107727E9)</f>
        <v>8433107727</v>
      </c>
      <c r="D7" s="3">
        <f>IFERROR(__xludf.DUMMYFUNCTION("""COMPUTED_VALUE"""),32264.0)</f>
        <v>32264</v>
      </c>
      <c r="E7" s="2">
        <f>IFERROR(__xludf.DUMMYFUNCTION("""COMPUTED_VALUE"""),22.0)</f>
        <v>22</v>
      </c>
      <c r="F7" s="2">
        <f>IFERROR(__xludf.DUMMYFUNCTION("""COMPUTED_VALUE"""),200000.0)</f>
        <v>200000</v>
      </c>
      <c r="G7" s="2" t="str">
        <f>IFERROR(__xludf.DUMMYFUNCTION("""COMPUTED_VALUE"""),"NORMAL")</f>
        <v>NORMAL</v>
      </c>
      <c r="H7" s="2">
        <f>IFERROR(__xludf.DUMMYFUNCTION("""COMPUTED_VALUE"""),0.0)</f>
        <v>0</v>
      </c>
      <c r="I7" s="2" t="str">
        <f>IFERROR(__xludf.DUMMYFUNCTION("""COMPUTED_VALUE"""),"GOOD")</f>
        <v>GOOD</v>
      </c>
      <c r="J7" s="3"/>
      <c r="K7" s="3"/>
      <c r="L7" s="3"/>
      <c r="M7" s="3"/>
      <c r="N7" s="3"/>
      <c r="O7" s="2"/>
      <c r="P7" s="2"/>
      <c r="Q7" s="2"/>
      <c r="R7" s="2"/>
      <c r="S7" s="2"/>
      <c r="T7" s="2"/>
      <c r="U7" s="2"/>
      <c r="V7" s="2">
        <f>IFERROR(__xludf.DUMMYFUNCTION("""COMPUTED_VALUE"""),32264.0)</f>
        <v>32264</v>
      </c>
      <c r="W7" s="2"/>
    </row>
    <row r="8">
      <c r="A8" s="2" t="str">
        <f>IFERROR(__xludf.DUMMYFUNCTION("""COMPUTED_VALUE"""),"PIHOO LIFE STYLE")</f>
        <v>PIHOO LIFE STYLE</v>
      </c>
      <c r="B8" s="2" t="str">
        <f>IFERROR(__xludf.DUMMYFUNCTION("""COMPUTED_VALUE"""),"SHERRY")</f>
        <v>SHERRY</v>
      </c>
      <c r="C8" s="2">
        <f>IFERROR(__xludf.DUMMYFUNCTION("""COMPUTED_VALUE"""),9.91709254E9)</f>
        <v>9917092540</v>
      </c>
      <c r="D8" s="3">
        <f>IFERROR(__xludf.DUMMYFUNCTION("""COMPUTED_VALUE"""),33988.0)</f>
        <v>33988</v>
      </c>
      <c r="E8" s="2">
        <f>IFERROR(__xludf.DUMMYFUNCTION("""COMPUTED_VALUE"""),22.0)</f>
        <v>22</v>
      </c>
      <c r="F8" s="2">
        <f>IFERROR(__xludf.DUMMYFUNCTION("""COMPUTED_VALUE"""),200000.0)</f>
        <v>200000</v>
      </c>
      <c r="G8" s="2" t="str">
        <f>IFERROR(__xludf.DUMMYFUNCTION("""COMPUTED_VALUE"""),"NORMAL")</f>
        <v>NORMAL</v>
      </c>
      <c r="H8" s="2">
        <f>IFERROR(__xludf.DUMMYFUNCTION("""COMPUTED_VALUE"""),0.0)</f>
        <v>0</v>
      </c>
      <c r="I8" s="2" t="str">
        <f>IFERROR(__xludf.DUMMYFUNCTION("""COMPUTED_VALUE"""),"GOOD")</f>
        <v>GOOD</v>
      </c>
      <c r="J8" s="3"/>
      <c r="K8" s="3"/>
      <c r="L8" s="3"/>
      <c r="M8" s="3"/>
      <c r="N8" s="3"/>
      <c r="O8" s="2"/>
      <c r="P8" s="2"/>
      <c r="Q8" s="2"/>
      <c r="R8" s="2"/>
      <c r="S8" s="2"/>
      <c r="T8" s="2"/>
      <c r="U8" s="2"/>
      <c r="V8" s="2">
        <f>IFERROR(__xludf.DUMMYFUNCTION("""COMPUTED_VALUE"""),33988.0)</f>
        <v>33988</v>
      </c>
      <c r="W8" s="2"/>
    </row>
    <row r="9">
      <c r="A9" s="2" t="str">
        <f>IFERROR(__xludf.DUMMYFUNCTION("""COMPUTED_VALUE"""),"DEV ENTERPRISES (UK)")</f>
        <v>DEV ENTERPRISES (UK)</v>
      </c>
      <c r="B9" s="2" t="str">
        <f>IFERROR(__xludf.DUMMYFUNCTION("""COMPUTED_VALUE"""),"SHERRY")</f>
        <v>SHERRY</v>
      </c>
      <c r="C9" s="2">
        <f>IFERROR(__xludf.DUMMYFUNCTION("""COMPUTED_VALUE"""),8.05704807E9)</f>
        <v>8057048070</v>
      </c>
      <c r="D9" s="3">
        <f>IFERROR(__xludf.DUMMYFUNCTION("""COMPUTED_VALUE"""),46005.0)</f>
        <v>46005</v>
      </c>
      <c r="E9" s="2">
        <f>IFERROR(__xludf.DUMMYFUNCTION("""COMPUTED_VALUE"""),19.0)</f>
        <v>19</v>
      </c>
      <c r="F9" s="2">
        <f>IFERROR(__xludf.DUMMYFUNCTION("""COMPUTED_VALUE"""),200000.0)</f>
        <v>200000</v>
      </c>
      <c r="G9" s="2" t="str">
        <f>IFERROR(__xludf.DUMMYFUNCTION("""COMPUTED_VALUE"""),"NORMAL")</f>
        <v>NORMAL</v>
      </c>
      <c r="H9" s="2">
        <f>IFERROR(__xludf.DUMMYFUNCTION("""COMPUTED_VALUE"""),0.0)</f>
        <v>0</v>
      </c>
      <c r="I9" s="2" t="str">
        <f>IFERROR(__xludf.DUMMYFUNCTION("""COMPUTED_VALUE"""),"GOOD")</f>
        <v>GOOD</v>
      </c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>
        <f>IFERROR(__xludf.DUMMYFUNCTION("""COMPUTED_VALUE"""),46005.0)</f>
        <v>46005</v>
      </c>
      <c r="W9" s="2"/>
    </row>
    <row r="10">
      <c r="A10" s="2" t="str">
        <f>IFERROR(__xludf.DUMMYFUNCTION("""COMPUTED_VALUE"""),"RAWAL AGENCY")</f>
        <v>RAWAL AGENCY</v>
      </c>
      <c r="B10" s="2" t="str">
        <f>IFERROR(__xludf.DUMMYFUNCTION("""COMPUTED_VALUE"""),"SHERRY")</f>
        <v>SHERRY</v>
      </c>
      <c r="C10" s="2">
        <f>IFERROR(__xludf.DUMMYFUNCTION("""COMPUTED_VALUE"""),9.917615746E9)</f>
        <v>9917615746</v>
      </c>
      <c r="D10" s="3">
        <f>IFERROR(__xludf.DUMMYFUNCTION("""COMPUTED_VALUE"""),31485.0)</f>
        <v>31485</v>
      </c>
      <c r="E10" s="2">
        <f>IFERROR(__xludf.DUMMYFUNCTION("""COMPUTED_VALUE"""),19.0)</f>
        <v>19</v>
      </c>
      <c r="F10" s="2">
        <f>IFERROR(__xludf.DUMMYFUNCTION("""COMPUTED_VALUE"""),200000.0)</f>
        <v>200000</v>
      </c>
      <c r="G10" s="2" t="str">
        <f>IFERROR(__xludf.DUMMYFUNCTION("""COMPUTED_VALUE"""),"NORMAL")</f>
        <v>NORMAL</v>
      </c>
      <c r="H10" s="2">
        <f>IFERROR(__xludf.DUMMYFUNCTION("""COMPUTED_VALUE"""),0.0)</f>
        <v>0</v>
      </c>
      <c r="I10" s="2" t="str">
        <f>IFERROR(__xludf.DUMMYFUNCTION("""COMPUTED_VALUE"""),"GOOD")</f>
        <v>GOOD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>
        <f>IFERROR(__xludf.DUMMYFUNCTION("""COMPUTED_VALUE"""),31485.0)</f>
        <v>31485</v>
      </c>
      <c r="W10" s="2"/>
    </row>
    <row r="11">
      <c r="A11" s="2" t="str">
        <f>IFERROR(__xludf.DUMMYFUNCTION("""COMPUTED_VALUE"""),"SHIVA GARMENTS")</f>
        <v>SHIVA GARMENTS</v>
      </c>
      <c r="B11" s="2" t="str">
        <f>IFERROR(__xludf.DUMMYFUNCTION("""COMPUTED_VALUE"""),"SHERRY")</f>
        <v>SHERRY</v>
      </c>
      <c r="C11" s="2">
        <f>IFERROR(__xludf.DUMMYFUNCTION("""COMPUTED_VALUE"""),9.411526494E9)</f>
        <v>9411526494</v>
      </c>
      <c r="D11" s="3">
        <f>IFERROR(__xludf.DUMMYFUNCTION("""COMPUTED_VALUE"""),42904.0)</f>
        <v>42904</v>
      </c>
      <c r="E11" s="2">
        <f>IFERROR(__xludf.DUMMYFUNCTION("""COMPUTED_VALUE"""),19.0)</f>
        <v>19</v>
      </c>
      <c r="F11" s="2">
        <f>IFERROR(__xludf.DUMMYFUNCTION("""COMPUTED_VALUE"""),200000.0)</f>
        <v>200000</v>
      </c>
      <c r="G11" s="2" t="str">
        <f>IFERROR(__xludf.DUMMYFUNCTION("""COMPUTED_VALUE"""),"NORMAL")</f>
        <v>NORMAL</v>
      </c>
      <c r="H11" s="2">
        <f>IFERROR(__xludf.DUMMYFUNCTION("""COMPUTED_VALUE"""),0.0)</f>
        <v>0</v>
      </c>
      <c r="I11" s="2" t="str">
        <f>IFERROR(__xludf.DUMMYFUNCTION("""COMPUTED_VALUE"""),"GOOD")</f>
        <v>GOOD</v>
      </c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>
        <f>IFERROR(__xludf.DUMMYFUNCTION("""COMPUTED_VALUE"""),42904.0)</f>
        <v>42904</v>
      </c>
      <c r="W11" s="2"/>
    </row>
    <row r="12">
      <c r="A12" s="2" t="str">
        <f>IFERROR(__xludf.DUMMYFUNCTION("""COMPUTED_VALUE"""),"LAXMAN PRASAD")</f>
        <v>LAXMAN PRASAD</v>
      </c>
      <c r="B12" s="2" t="str">
        <f>IFERROR(__xludf.DUMMYFUNCTION("""COMPUTED_VALUE"""),"SHERRY")</f>
        <v>SHERRY</v>
      </c>
      <c r="C12" s="2">
        <f>IFERROR(__xludf.DUMMYFUNCTION("""COMPUTED_VALUE"""),9.759994922E9)</f>
        <v>9759994922</v>
      </c>
      <c r="D12" s="3">
        <f>IFERROR(__xludf.DUMMYFUNCTION("""COMPUTED_VALUE"""),32437.0)</f>
        <v>32437</v>
      </c>
      <c r="E12" s="2">
        <f>IFERROR(__xludf.DUMMYFUNCTION("""COMPUTED_VALUE"""),18.0)</f>
        <v>18</v>
      </c>
      <c r="F12" s="2">
        <f>IFERROR(__xludf.DUMMYFUNCTION("""COMPUTED_VALUE"""),200000.0)</f>
        <v>200000</v>
      </c>
      <c r="G12" s="2" t="str">
        <f>IFERROR(__xludf.DUMMYFUNCTION("""COMPUTED_VALUE"""),"NORMAL")</f>
        <v>NORMAL</v>
      </c>
      <c r="H12" s="2">
        <f>IFERROR(__xludf.DUMMYFUNCTION("""COMPUTED_VALUE"""),0.0)</f>
        <v>0</v>
      </c>
      <c r="I12" s="2" t="str">
        <f>IFERROR(__xludf.DUMMYFUNCTION("""COMPUTED_VALUE"""),"GOOD")</f>
        <v>GOOD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>
        <f>IFERROR(__xludf.DUMMYFUNCTION("""COMPUTED_VALUE"""),32437.0)</f>
        <v>32437</v>
      </c>
      <c r="W12" s="2"/>
    </row>
    <row r="13">
      <c r="A13" s="2" t="str">
        <f>IFERROR(__xludf.DUMMYFUNCTION("""COMPUTED_VALUE"""),"HUM TUM FASHION COLLECTION")</f>
        <v>HUM TUM FASHION COLLECTION</v>
      </c>
      <c r="B13" s="2" t="str">
        <f>IFERROR(__xludf.DUMMYFUNCTION("""COMPUTED_VALUE"""),"SHERRY")</f>
        <v>SHERRY</v>
      </c>
      <c r="C13" s="2">
        <f>IFERROR(__xludf.DUMMYFUNCTION("""COMPUTED_VALUE"""),9.897090514E9)</f>
        <v>9897090514</v>
      </c>
      <c r="D13" s="3">
        <f>IFERROR(__xludf.DUMMYFUNCTION("""COMPUTED_VALUE"""),31341.0)</f>
        <v>31341</v>
      </c>
      <c r="E13" s="2">
        <f>IFERROR(__xludf.DUMMYFUNCTION("""COMPUTED_VALUE"""),9.0)</f>
        <v>9</v>
      </c>
      <c r="F13" s="2">
        <f>IFERROR(__xludf.DUMMYFUNCTION("""COMPUTED_VALUE"""),200000.0)</f>
        <v>200000</v>
      </c>
      <c r="G13" s="2" t="str">
        <f>IFERROR(__xludf.DUMMYFUNCTION("""COMPUTED_VALUE"""),"RISK")</f>
        <v>RISK</v>
      </c>
      <c r="H13" s="2">
        <f>IFERROR(__xludf.DUMMYFUNCTION("""COMPUTED_VALUE"""),25.0)</f>
        <v>25</v>
      </c>
      <c r="I13" s="2" t="str">
        <f>IFERROR(__xludf.DUMMYFUNCTION("""COMPUTED_VALUE"""),"GOOD")</f>
        <v>GOOD</v>
      </c>
      <c r="J13" s="3"/>
      <c r="K13" s="3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>
        <f>IFERROR(__xludf.DUMMYFUNCTION("""COMPUTED_VALUE"""),31341.0)</f>
        <v>31341</v>
      </c>
    </row>
    <row r="14">
      <c r="A14" s="2" t="str">
        <f>IFERROR(__xludf.DUMMYFUNCTION("""COMPUTED_VALUE"""),"MAA BARAHI COLLECTIONS")</f>
        <v>MAA BARAHI COLLECTIONS</v>
      </c>
      <c r="B14" s="2" t="str">
        <f>IFERROR(__xludf.DUMMYFUNCTION("""COMPUTED_VALUE"""),"SHERRY")</f>
        <v>SHERRY</v>
      </c>
      <c r="C14" s="2"/>
      <c r="D14" s="3">
        <f>IFERROR(__xludf.DUMMYFUNCTION("""COMPUTED_VALUE"""),33229.0)</f>
        <v>33229</v>
      </c>
      <c r="E14" s="2">
        <f>IFERROR(__xludf.DUMMYFUNCTION("""COMPUTED_VALUE"""),7.0)</f>
        <v>7</v>
      </c>
      <c r="F14" s="2"/>
      <c r="G14" s="2" t="str">
        <f>IFERROR(__xludf.DUMMYFUNCTION("""COMPUTED_VALUE"""),"RISK")</f>
        <v>RISK</v>
      </c>
      <c r="H14" s="2">
        <f>IFERROR(__xludf.DUMMYFUNCTION("""COMPUTED_VALUE"""),25.0)</f>
        <v>25</v>
      </c>
      <c r="I14" s="2" t="str">
        <f>IFERROR(__xludf.DUMMYFUNCTION("""COMPUTED_VALUE"""),"GOOD")</f>
        <v>GOOD</v>
      </c>
      <c r="J14" s="3"/>
      <c r="K14" s="3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>
        <f>IFERROR(__xludf.DUMMYFUNCTION("""COMPUTED_VALUE"""),33229.0)</f>
        <v>33229</v>
      </c>
    </row>
    <row r="15">
      <c r="A15" s="2" t="str">
        <f>IFERROR(__xludf.DUMMYFUNCTION("""COMPUTED_VALUE"""),"NEW PREM JI GARMENTS")</f>
        <v>NEW PREM JI GARMENTS</v>
      </c>
      <c r="B15" s="2" t="str">
        <f>IFERROR(__xludf.DUMMYFUNCTION("""COMPUTED_VALUE"""),"SHERRY")</f>
        <v>SHERRY</v>
      </c>
      <c r="C15" s="2"/>
      <c r="D15" s="3">
        <f>IFERROR(__xludf.DUMMYFUNCTION("""COMPUTED_VALUE"""),32638.0)</f>
        <v>32638</v>
      </c>
      <c r="E15" s="2">
        <f>IFERROR(__xludf.DUMMYFUNCTION("""COMPUTED_VALUE"""),7.0)</f>
        <v>7</v>
      </c>
      <c r="F15" s="2"/>
      <c r="G15" s="2" t="str">
        <f>IFERROR(__xludf.DUMMYFUNCTION("""COMPUTED_VALUE"""),"RISK")</f>
        <v>RISK</v>
      </c>
      <c r="H15" s="2">
        <f>IFERROR(__xludf.DUMMYFUNCTION("""COMPUTED_VALUE"""),25.0)</f>
        <v>25</v>
      </c>
      <c r="I15" s="2" t="str">
        <f>IFERROR(__xludf.DUMMYFUNCTION("""COMPUTED_VALUE"""),"GOOD")</f>
        <v>GOOD</v>
      </c>
      <c r="J15" s="3"/>
      <c r="K15" s="3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>
        <f>IFERROR(__xludf.DUMMYFUNCTION("""COMPUTED_VALUE"""),32638.0)</f>
        <v>32638</v>
      </c>
    </row>
    <row r="16">
      <c r="A16" s="2" t="str">
        <f>IFERROR(__xludf.DUMMYFUNCTION("""COMPUTED_VALUE"""),"SONU READYMADE COLLECTION")</f>
        <v>SONU READYMADE COLLECTION</v>
      </c>
      <c r="B16" s="2" t="str">
        <f>IFERROR(__xludf.DUMMYFUNCTION("""COMPUTED_VALUE"""),"SHERRY")</f>
        <v>SHERRY</v>
      </c>
      <c r="C16" s="2"/>
      <c r="D16" s="3">
        <f>IFERROR(__xludf.DUMMYFUNCTION("""COMPUTED_VALUE"""),33029.0)</f>
        <v>33029</v>
      </c>
      <c r="E16" s="2">
        <f>IFERROR(__xludf.DUMMYFUNCTION("""COMPUTED_VALUE"""),7.0)</f>
        <v>7</v>
      </c>
      <c r="F16" s="2"/>
      <c r="G16" s="2" t="str">
        <f>IFERROR(__xludf.DUMMYFUNCTION("""COMPUTED_VALUE"""),"RISK")</f>
        <v>RISK</v>
      </c>
      <c r="H16" s="2">
        <f>IFERROR(__xludf.DUMMYFUNCTION("""COMPUTED_VALUE"""),25.0)</f>
        <v>25</v>
      </c>
      <c r="I16" s="2" t="str">
        <f>IFERROR(__xludf.DUMMYFUNCTION("""COMPUTED_VALUE"""),"GOOD")</f>
        <v>GOOD</v>
      </c>
      <c r="J16" s="3"/>
      <c r="K16" s="3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>
        <f>IFERROR(__xludf.DUMMYFUNCTION("""COMPUTED_VALUE"""),33029.0)</f>
        <v>33029</v>
      </c>
    </row>
  </sheetData>
  <drawing r:id="rId1"/>
</worksheet>
</file>
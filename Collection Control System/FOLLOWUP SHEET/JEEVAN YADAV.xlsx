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4.0"/>
    <col customWidth="1" min="3" max="3" width="12.63"/>
  </cols>
  <sheetData>
    <row r="1">
      <c r="A1" s="1" t="str">
        <f>IFERROR(__xludf.DUMMYFUNCTION("QUERY(IMPORTRANGE(""1o4kGFTI80_EdoNgEzQs7R1-vO13rpAoNe3h9dk3MlSo"", ""AGEING_ANALYSIS!A1:W""), ""select * where lower(Col2) = 'jeevan yadav'"", 1)"),"Dealer Name ")</f>
        <v>Dealer Name </v>
      </c>
      <c r="B1" s="2" t="str">
        <f>IFERROR(__xludf.DUMMYFUNCTION("""COMPUTED_VALUE"""),"Executive/Agent")</f>
        <v>Executive/Agent</v>
      </c>
      <c r="C1" s="2" t="str">
        <f>IFERROR(__xludf.DUMMYFUNCTION("""COMPUTED_VALUE"""),"Contact Number")</f>
        <v>Contact Number</v>
      </c>
      <c r="D1" s="2" t="str">
        <f>IFERROR(__xludf.DUMMYFUNCTION("""COMPUTED_VALUE"""),"Outstanding")</f>
        <v>Outstanding</v>
      </c>
      <c r="E1" s="2" t="str">
        <f>IFERROR(__xludf.DUMMYFUNCTION("""COMPUTED_VALUE"""),"Max Overdue")</f>
        <v>Max Overdue</v>
      </c>
      <c r="F1" s="2" t="str">
        <f>IFERROR(__xludf.DUMMYFUNCTION("""COMPUTED_VALUE"""),"Credit Limit")</f>
        <v>Credit Limit</v>
      </c>
      <c r="G1" s="2" t="str">
        <f>IFERROR(__xludf.DUMMYFUNCTION("""COMPUTED_VALUE"""),"Risk Flag")</f>
        <v>Risk Flag</v>
      </c>
      <c r="H1" s="2" t="str">
        <f>IFERROR(__xludf.DUMMYFUNCTION("""COMPUTED_VALUE"""),"Risk Score")</f>
        <v>Risk Score</v>
      </c>
      <c r="I1" s="2" t="str">
        <f>IFERROR(__xludf.DUMMYFUNCTION("""COMPUTED_VALUE"""),"Behaviour")</f>
        <v>Behaviour</v>
      </c>
      <c r="J1" s="2" t="str">
        <f>IFERROR(__xludf.DUMMYFUNCTION("""COMPUTED_VALUE"""),"February 25")</f>
        <v>February 25</v>
      </c>
      <c r="K1" s="2" t="str">
        <f>IFERROR(__xludf.DUMMYFUNCTION("""COMPUTED_VALUE"""),"March 25")</f>
        <v>March 25</v>
      </c>
      <c r="L1" s="2" t="str">
        <f>IFERROR(__xludf.DUMMYFUNCTION("""COMPUTED_VALUE"""),"April 25")</f>
        <v>April 25</v>
      </c>
      <c r="M1" s="2" t="str">
        <f>IFERROR(__xludf.DUMMYFUNCTION("""COMPUTED_VALUE"""),"May 25")</f>
        <v>May 25</v>
      </c>
      <c r="N1" s="2" t="str">
        <f>IFERROR(__xludf.DUMMYFUNCTION("""COMPUTED_VALUE"""),"June 25")</f>
        <v>June 25</v>
      </c>
      <c r="O1" s="2" t="str">
        <f>IFERROR(__xludf.DUMMYFUNCTION("""COMPUTED_VALUE"""),"July 25")</f>
        <v>July 25</v>
      </c>
      <c r="P1" s="2" t="str">
        <f>IFERROR(__xludf.DUMMYFUNCTION("""COMPUTED_VALUE"""),"August 25")</f>
        <v>August 25</v>
      </c>
      <c r="Q1" s="2" t="str">
        <f>IFERROR(__xludf.DUMMYFUNCTION("""COMPUTED_VALUE"""),"September 25")</f>
        <v>September 25</v>
      </c>
      <c r="R1" s="2" t="str">
        <f>IFERROR(__xludf.DUMMYFUNCTION("""COMPUTED_VALUE"""),"October 25")</f>
        <v>October 25</v>
      </c>
      <c r="S1" s="2" t="str">
        <f>IFERROR(__xludf.DUMMYFUNCTION("""COMPUTED_VALUE"""),"November 25")</f>
        <v>November 25</v>
      </c>
      <c r="T1" s="2" t="str">
        <f>IFERROR(__xludf.DUMMYFUNCTION("""COMPUTED_VALUE"""),"December 25")</f>
        <v>December 25</v>
      </c>
      <c r="U1" s="2" t="str">
        <f>IFERROR(__xludf.DUMMYFUNCTION("""COMPUTED_VALUE"""),"January 26")</f>
        <v>January 26</v>
      </c>
      <c r="V1" s="2" t="str">
        <f>IFERROR(__xludf.DUMMYFUNCTION("""COMPUTED_VALUE"""),"February 26")</f>
        <v>February 26</v>
      </c>
      <c r="W1" s="2" t="str">
        <f>IFERROR(__xludf.DUMMYFUNCTION("""COMPUTED_VALUE"""),"March 26")</f>
        <v>March 26</v>
      </c>
    </row>
    <row r="2">
      <c r="A2" s="3" t="str">
        <f>IFERROR(__xludf.DUMMYFUNCTION("""COMPUTED_VALUE"""),"SANGAM VASTRALAYA")</f>
        <v>SANGAM VASTRALAYA</v>
      </c>
      <c r="B2" s="3" t="str">
        <f>IFERROR(__xludf.DUMMYFUNCTION("""COMPUTED_VALUE"""),"JEEVAN YADAV")</f>
        <v>JEEVAN YADAV</v>
      </c>
      <c r="C2" s="3">
        <f>IFERROR(__xludf.DUMMYFUNCTION("""COMPUTED_VALUE"""),7.079970899E9)</f>
        <v>7079970899</v>
      </c>
      <c r="D2" s="4">
        <f>IFERROR(__xludf.DUMMYFUNCTION("""COMPUTED_VALUE"""),33636.0)</f>
        <v>33636</v>
      </c>
      <c r="E2" s="3">
        <f>IFERROR(__xludf.DUMMYFUNCTION("""COMPUTED_VALUE"""),203.0)</f>
        <v>203</v>
      </c>
      <c r="F2" s="3">
        <f>IFERROR(__xludf.DUMMYFUNCTION("""COMPUTED_VALUE"""),300000.0)</f>
        <v>300000</v>
      </c>
      <c r="G2" s="3" t="str">
        <f>IFERROR(__xludf.DUMMYFUNCTION("""COMPUTED_VALUE"""),"RISK")</f>
        <v>RISK</v>
      </c>
      <c r="H2" s="3">
        <f>IFERROR(__xludf.DUMMYFUNCTION("""COMPUTED_VALUE"""),40.0)</f>
        <v>40</v>
      </c>
      <c r="I2" s="3" t="str">
        <f>IFERROR(__xludf.DUMMYFUNCTION("""COMPUTED_VALUE"""),"DANGEROUS")</f>
        <v>DANGEROUS</v>
      </c>
      <c r="J2" s="4"/>
      <c r="K2" s="4"/>
      <c r="L2" s="4"/>
      <c r="M2" s="4"/>
      <c r="N2" s="4"/>
      <c r="O2" s="3"/>
      <c r="P2" s="3">
        <f>IFERROR(__xludf.DUMMYFUNCTION("""COMPUTED_VALUE"""),701.0)</f>
        <v>701</v>
      </c>
      <c r="Q2" s="3"/>
      <c r="R2" s="3">
        <f>IFERROR(__xludf.DUMMYFUNCTION("""COMPUTED_VALUE"""),32935.0)</f>
        <v>32935</v>
      </c>
      <c r="S2" s="3"/>
      <c r="T2" s="3"/>
      <c r="U2" s="3"/>
      <c r="V2" s="3"/>
      <c r="W2" s="3"/>
    </row>
    <row r="3">
      <c r="A3" s="3" t="str">
        <f>IFERROR(__xludf.DUMMYFUNCTION("""COMPUTED_VALUE"""),"SUJAY KUMAR SINGH")</f>
        <v>SUJAY KUMAR SINGH</v>
      </c>
      <c r="B3" s="3" t="str">
        <f>IFERROR(__xludf.DUMMYFUNCTION("""COMPUTED_VALUE"""),"JEEVAN YADAV")</f>
        <v>JEEVAN YADAV</v>
      </c>
      <c r="C3" s="3"/>
      <c r="D3" s="4">
        <f>IFERROR(__xludf.DUMMYFUNCTION("""COMPUTED_VALUE"""),101.0)</f>
        <v>101</v>
      </c>
      <c r="E3" s="3">
        <f>IFERROR(__xludf.DUMMYFUNCTION("""COMPUTED_VALUE"""),189.0)</f>
        <v>189</v>
      </c>
      <c r="F3" s="3">
        <f>IFERROR(__xludf.DUMMYFUNCTION("""COMPUTED_VALUE"""),300000.0)</f>
        <v>300000</v>
      </c>
      <c r="G3" s="3" t="str">
        <f>IFERROR(__xludf.DUMMYFUNCTION("""COMPUTED_VALUE"""),"RISK")</f>
        <v>RISK</v>
      </c>
      <c r="H3" s="3">
        <f>IFERROR(__xludf.DUMMYFUNCTION("""COMPUTED_VALUE"""),40.0)</f>
        <v>40</v>
      </c>
      <c r="I3" s="3" t="str">
        <f>IFERROR(__xludf.DUMMYFUNCTION("""COMPUTED_VALUE"""),"DANGEROUS")</f>
        <v>DANGEROUS</v>
      </c>
      <c r="J3" s="4"/>
      <c r="K3" s="4"/>
      <c r="L3" s="4"/>
      <c r="M3" s="4"/>
      <c r="N3" s="4"/>
      <c r="O3" s="3"/>
      <c r="P3" s="3"/>
      <c r="Q3" s="3">
        <f>IFERROR(__xludf.DUMMYFUNCTION("""COMPUTED_VALUE"""),101.0)</f>
        <v>101</v>
      </c>
      <c r="R3" s="3"/>
      <c r="S3" s="3"/>
      <c r="T3" s="3"/>
      <c r="U3" s="3"/>
      <c r="V3" s="3"/>
      <c r="W3" s="3"/>
    </row>
    <row r="4">
      <c r="A4" s="3" t="str">
        <f>IFERROR(__xludf.DUMMYFUNCTION("""COMPUTED_VALUE"""),"SRI LUXMI HARI BIG SHOP")</f>
        <v>SRI LUXMI HARI BIG SHOP</v>
      </c>
      <c r="B4" s="3" t="str">
        <f>IFERROR(__xludf.DUMMYFUNCTION("""COMPUTED_VALUE"""),"JEEVAN YADAV")</f>
        <v>JEEVAN YADAV</v>
      </c>
      <c r="C4" s="3">
        <f>IFERROR(__xludf.DUMMYFUNCTION("""COMPUTED_VALUE"""),9.155568161E9)</f>
        <v>9155568161</v>
      </c>
      <c r="D4" s="4">
        <f>IFERROR(__xludf.DUMMYFUNCTION("""COMPUTED_VALUE"""),1874.0)</f>
        <v>1874</v>
      </c>
      <c r="E4" s="3">
        <f>IFERROR(__xludf.DUMMYFUNCTION("""COMPUTED_VALUE"""),181.0)</f>
        <v>181</v>
      </c>
      <c r="F4" s="3">
        <f>IFERROR(__xludf.DUMMYFUNCTION("""COMPUTED_VALUE"""),300000.0)</f>
        <v>300000</v>
      </c>
      <c r="G4" s="3" t="str">
        <f>IFERROR(__xludf.DUMMYFUNCTION("""COMPUTED_VALUE"""),"RISK")</f>
        <v>RISK</v>
      </c>
      <c r="H4" s="3">
        <f>IFERROR(__xludf.DUMMYFUNCTION("""COMPUTED_VALUE"""),75.0)</f>
        <v>75</v>
      </c>
      <c r="I4" s="3" t="str">
        <f>IFERROR(__xludf.DUMMYFUNCTION("""COMPUTED_VALUE"""),"DANGEROUS")</f>
        <v>DANGEROUS</v>
      </c>
      <c r="J4" s="4"/>
      <c r="K4" s="4"/>
      <c r="L4" s="4"/>
      <c r="M4" s="4"/>
      <c r="N4" s="4"/>
      <c r="O4" s="3"/>
      <c r="P4" s="3"/>
      <c r="Q4" s="3">
        <f>IFERROR(__xludf.DUMMYFUNCTION("""COMPUTED_VALUE"""),74.0)</f>
        <v>74</v>
      </c>
      <c r="R4" s="3"/>
      <c r="S4" s="3"/>
      <c r="T4" s="3"/>
      <c r="U4" s="3">
        <f>IFERROR(__xludf.DUMMYFUNCTION("""COMPUTED_VALUE"""),1800.0)</f>
        <v>1800</v>
      </c>
      <c r="V4" s="3"/>
      <c r="W4" s="3"/>
    </row>
    <row r="5">
      <c r="A5" s="3" t="str">
        <f>IFERROR(__xludf.DUMMYFUNCTION("""COMPUTED_VALUE"""),"AMIT READYMADE STORE")</f>
        <v>AMIT READYMADE STORE</v>
      </c>
      <c r="B5" s="3" t="str">
        <f>IFERROR(__xludf.DUMMYFUNCTION("""COMPUTED_VALUE"""),"JEEVAN YADAV")</f>
        <v>JEEVAN YADAV</v>
      </c>
      <c r="C5" s="3">
        <f>IFERROR(__xludf.DUMMYFUNCTION("""COMPUTED_VALUE"""),9.110177858E9)</f>
        <v>9110177858</v>
      </c>
      <c r="D5" s="4">
        <f>IFERROR(__xludf.DUMMYFUNCTION("""COMPUTED_VALUE"""),141918.0)</f>
        <v>141918</v>
      </c>
      <c r="E5" s="3">
        <f>IFERROR(__xludf.DUMMYFUNCTION("""COMPUTED_VALUE"""),173.0)</f>
        <v>173</v>
      </c>
      <c r="F5" s="3">
        <f>IFERROR(__xludf.DUMMYFUNCTION("""COMPUTED_VALUE"""),25000.0)</f>
        <v>25000</v>
      </c>
      <c r="G5" s="3" t="str">
        <f>IFERROR(__xludf.DUMMYFUNCTION("""COMPUTED_VALUE"""),"RISK")</f>
        <v>RISK</v>
      </c>
      <c r="H5" s="3">
        <f>IFERROR(__xludf.DUMMYFUNCTION("""COMPUTED_VALUE"""),40.0)</f>
        <v>40</v>
      </c>
      <c r="I5" s="3" t="str">
        <f>IFERROR(__xludf.DUMMYFUNCTION("""COMPUTED_VALUE"""),"DANGEROUS")</f>
        <v>DANGEROUS</v>
      </c>
      <c r="J5" s="4"/>
      <c r="K5" s="4"/>
      <c r="L5" s="4"/>
      <c r="M5" s="4"/>
      <c r="N5" s="4"/>
      <c r="O5" s="3"/>
      <c r="P5" s="3"/>
      <c r="Q5" s="3">
        <f>IFERROR(__xludf.DUMMYFUNCTION("""COMPUTED_VALUE"""),27397.0)</f>
        <v>27397</v>
      </c>
      <c r="R5" s="3">
        <f>IFERROR(__xludf.DUMMYFUNCTION("""COMPUTED_VALUE"""),35876.0)</f>
        <v>35876</v>
      </c>
      <c r="S5" s="3">
        <f>IFERROR(__xludf.DUMMYFUNCTION("""COMPUTED_VALUE"""),78645.0)</f>
        <v>78645</v>
      </c>
      <c r="T5" s="3"/>
      <c r="U5" s="3"/>
      <c r="V5" s="3"/>
      <c r="W5" s="3"/>
    </row>
    <row r="6">
      <c r="A6" s="3" t="str">
        <f>IFERROR(__xludf.DUMMYFUNCTION("""COMPUTED_VALUE"""),"CITY STYLE")</f>
        <v>CITY STYLE</v>
      </c>
      <c r="B6" s="3" t="str">
        <f>IFERROR(__xludf.DUMMYFUNCTION("""COMPUTED_VALUE"""),"JEEVAN YADAV")</f>
        <v>JEEVAN YADAV</v>
      </c>
      <c r="C6" s="3">
        <f>IFERROR(__xludf.DUMMYFUNCTION("""COMPUTED_VALUE"""),7.543827645E9)</f>
        <v>7543827645</v>
      </c>
      <c r="D6" s="4">
        <f>IFERROR(__xludf.DUMMYFUNCTION("""COMPUTED_VALUE"""),351.0)</f>
        <v>351</v>
      </c>
      <c r="E6" s="3">
        <f>IFERROR(__xludf.DUMMYFUNCTION("""COMPUTED_VALUE"""),162.0)</f>
        <v>162</v>
      </c>
      <c r="F6" s="3">
        <f>IFERROR(__xludf.DUMMYFUNCTION("""COMPUTED_VALUE"""),300000.0)</f>
        <v>300000</v>
      </c>
      <c r="G6" s="3" t="str">
        <f>IFERROR(__xludf.DUMMYFUNCTION("""COMPUTED_VALUE"""),"RISK")</f>
        <v>RISK</v>
      </c>
      <c r="H6" s="3">
        <f>IFERROR(__xludf.DUMMYFUNCTION("""COMPUTED_VALUE"""),40.0)</f>
        <v>40</v>
      </c>
      <c r="I6" s="3" t="str">
        <f>IFERROR(__xludf.DUMMYFUNCTION("""COMPUTED_VALUE"""),"DANGEROUS")</f>
        <v>DANGEROUS</v>
      </c>
      <c r="J6" s="4"/>
      <c r="K6" s="4"/>
      <c r="L6" s="4"/>
      <c r="M6" s="4"/>
      <c r="N6" s="4"/>
      <c r="O6" s="3"/>
      <c r="P6" s="3"/>
      <c r="Q6" s="3"/>
      <c r="R6" s="3">
        <f>IFERROR(__xludf.DUMMYFUNCTION("""COMPUTED_VALUE"""),351.0)</f>
        <v>351</v>
      </c>
      <c r="S6" s="3"/>
      <c r="T6" s="3"/>
      <c r="U6" s="3"/>
      <c r="V6" s="3"/>
      <c r="W6" s="3"/>
    </row>
    <row r="7">
      <c r="A7" s="3" t="str">
        <f>IFERROR(__xludf.DUMMYFUNCTION("""COMPUTED_VALUE"""),"RANGOLI")</f>
        <v>RANGOLI</v>
      </c>
      <c r="B7" s="3" t="str">
        <f>IFERROR(__xludf.DUMMYFUNCTION("""COMPUTED_VALUE"""),"JEEVAN YADAV")</f>
        <v>JEEVAN YADAV</v>
      </c>
      <c r="C7" s="3">
        <f>IFERROR(__xludf.DUMMYFUNCTION("""COMPUTED_VALUE"""),9.430008001E9)</f>
        <v>9430008001</v>
      </c>
      <c r="D7" s="4">
        <f>IFERROR(__xludf.DUMMYFUNCTION("""COMPUTED_VALUE"""),3046.0)</f>
        <v>3046</v>
      </c>
      <c r="E7" s="3">
        <f>IFERROR(__xludf.DUMMYFUNCTION("""COMPUTED_VALUE"""),162.0)</f>
        <v>162</v>
      </c>
      <c r="F7" s="3">
        <f>IFERROR(__xludf.DUMMYFUNCTION("""COMPUTED_VALUE"""),300000.0)</f>
        <v>300000</v>
      </c>
      <c r="G7" s="3" t="str">
        <f>IFERROR(__xludf.DUMMYFUNCTION("""COMPUTED_VALUE"""),"RISK")</f>
        <v>RISK</v>
      </c>
      <c r="H7" s="3">
        <f>IFERROR(__xludf.DUMMYFUNCTION("""COMPUTED_VALUE"""),40.0)</f>
        <v>40</v>
      </c>
      <c r="I7" s="3" t="str">
        <f>IFERROR(__xludf.DUMMYFUNCTION("""COMPUTED_VALUE"""),"DANGEROUS")</f>
        <v>DANGEROUS</v>
      </c>
      <c r="J7" s="4"/>
      <c r="K7" s="4"/>
      <c r="L7" s="4"/>
      <c r="M7" s="4"/>
      <c r="N7" s="4"/>
      <c r="O7" s="3"/>
      <c r="P7" s="3"/>
      <c r="Q7" s="3"/>
      <c r="R7" s="3">
        <f>IFERROR(__xludf.DUMMYFUNCTION("""COMPUTED_VALUE"""),3046.0)</f>
        <v>3046</v>
      </c>
      <c r="S7" s="3"/>
      <c r="T7" s="3"/>
      <c r="U7" s="3"/>
      <c r="V7" s="3"/>
      <c r="W7" s="3"/>
    </row>
    <row r="8">
      <c r="A8" s="3" t="str">
        <f>IFERROR(__xludf.DUMMYFUNCTION("""COMPUTED_VALUE"""),"CHEAP AND BEST READY MADE AND CLOTH STORE")</f>
        <v>CHEAP AND BEST READY MADE AND CLOTH STORE</v>
      </c>
      <c r="B8" s="3" t="str">
        <f>IFERROR(__xludf.DUMMYFUNCTION("""COMPUTED_VALUE"""),"JEEVAN YADAV")</f>
        <v>JEEVAN YADAV</v>
      </c>
      <c r="C8" s="3">
        <f>IFERROR(__xludf.DUMMYFUNCTION("""COMPUTED_VALUE"""),8.521807858E9)</f>
        <v>8521807858</v>
      </c>
      <c r="D8" s="4">
        <f>IFERROR(__xludf.DUMMYFUNCTION("""COMPUTED_VALUE"""),2002.0)</f>
        <v>2002</v>
      </c>
      <c r="E8" s="3">
        <f>IFERROR(__xludf.DUMMYFUNCTION("""COMPUTED_VALUE"""),159.0)</f>
        <v>159</v>
      </c>
      <c r="F8" s="3">
        <f>IFERROR(__xludf.DUMMYFUNCTION("""COMPUTED_VALUE"""),300000.0)</f>
        <v>300000</v>
      </c>
      <c r="G8" s="3" t="str">
        <f>IFERROR(__xludf.DUMMYFUNCTION("""COMPUTED_VALUE"""),"RISK")</f>
        <v>RISK</v>
      </c>
      <c r="H8" s="3">
        <f>IFERROR(__xludf.DUMMYFUNCTION("""COMPUTED_VALUE"""),50.0)</f>
        <v>50</v>
      </c>
      <c r="I8" s="3" t="str">
        <f>IFERROR(__xludf.DUMMYFUNCTION("""COMPUTED_VALUE"""),"DANGEROUS")</f>
        <v>DANGEROUS</v>
      </c>
      <c r="J8" s="4"/>
      <c r="K8" s="4"/>
      <c r="L8" s="4"/>
      <c r="M8" s="4"/>
      <c r="N8" s="4"/>
      <c r="O8" s="3"/>
      <c r="P8" s="3"/>
      <c r="Q8" s="3"/>
      <c r="R8" s="3">
        <f>IFERROR(__xludf.DUMMYFUNCTION("""COMPUTED_VALUE"""),2002.0)</f>
        <v>2002</v>
      </c>
      <c r="S8" s="3"/>
      <c r="T8" s="3"/>
      <c r="U8" s="3"/>
      <c r="V8" s="3"/>
      <c r="W8" s="3"/>
    </row>
    <row r="9">
      <c r="A9" s="3" t="str">
        <f>IFERROR(__xludf.DUMMYFUNCTION("""COMPUTED_VALUE"""),"STYLE HUNT (BORN TO HUNT)")</f>
        <v>STYLE HUNT (BORN TO HUNT)</v>
      </c>
      <c r="B9" s="3" t="str">
        <f>IFERROR(__xludf.DUMMYFUNCTION("""COMPUTED_VALUE"""),"JEEVAN YADAV")</f>
        <v>JEEVAN YADAV</v>
      </c>
      <c r="C9" s="3">
        <f>IFERROR(__xludf.DUMMYFUNCTION("""COMPUTED_VALUE"""),9.334384415E9)</f>
        <v>9334384415</v>
      </c>
      <c r="D9" s="4">
        <f>IFERROR(__xludf.DUMMYFUNCTION("""COMPUTED_VALUE"""),250116.0)</f>
        <v>250116</v>
      </c>
      <c r="E9" s="3">
        <f>IFERROR(__xludf.DUMMYFUNCTION("""COMPUTED_VALUE"""),159.0)</f>
        <v>159</v>
      </c>
      <c r="F9" s="3">
        <f>IFERROR(__xludf.DUMMYFUNCTION("""COMPUTED_VALUE"""),300000.0)</f>
        <v>300000</v>
      </c>
      <c r="G9" s="3" t="str">
        <f>IFERROR(__xludf.DUMMYFUNCTION("""COMPUTED_VALUE"""),"RISK")</f>
        <v>RISK</v>
      </c>
      <c r="H9" s="3">
        <f>IFERROR(__xludf.DUMMYFUNCTION("""COMPUTED_VALUE"""),40.0)</f>
        <v>40</v>
      </c>
      <c r="I9" s="3" t="str">
        <f>IFERROR(__xludf.DUMMYFUNCTION("""COMPUTED_VALUE"""),"DANGEROUS")</f>
        <v>DANGEROUS</v>
      </c>
      <c r="J9" s="4"/>
      <c r="K9" s="4"/>
      <c r="L9" s="4"/>
      <c r="M9" s="4"/>
      <c r="N9" s="4"/>
      <c r="O9" s="3"/>
      <c r="P9" s="3"/>
      <c r="Q9" s="3"/>
      <c r="R9" s="3">
        <f>IFERROR(__xludf.DUMMYFUNCTION("""COMPUTED_VALUE"""),5.0)</f>
        <v>5</v>
      </c>
      <c r="S9" s="3"/>
      <c r="T9" s="3"/>
      <c r="U9" s="3">
        <f>IFERROR(__xludf.DUMMYFUNCTION("""COMPUTED_VALUE"""),250111.0)</f>
        <v>250111</v>
      </c>
      <c r="V9" s="3"/>
      <c r="W9" s="3"/>
    </row>
    <row r="10">
      <c r="A10" s="3" t="str">
        <f>IFERROR(__xludf.DUMMYFUNCTION("""COMPUTED_VALUE"""),"BHAGWATI SAREE SHOP")</f>
        <v>BHAGWATI SAREE SHOP</v>
      </c>
      <c r="B10" s="3" t="str">
        <f>IFERROR(__xludf.DUMMYFUNCTION("""COMPUTED_VALUE"""),"JEEVAN YADAV")</f>
        <v>JEEVAN YADAV</v>
      </c>
      <c r="C10" s="3">
        <f>IFERROR(__xludf.DUMMYFUNCTION("""COMPUTED_VALUE"""),6.200327712E9)</f>
        <v>6200327712</v>
      </c>
      <c r="D10" s="4">
        <f>IFERROR(__xludf.DUMMYFUNCTION("""COMPUTED_VALUE"""),4064.0)</f>
        <v>4064</v>
      </c>
      <c r="E10" s="3">
        <f>IFERROR(__xludf.DUMMYFUNCTION("""COMPUTED_VALUE"""),158.0)</f>
        <v>158</v>
      </c>
      <c r="F10" s="3">
        <f>IFERROR(__xludf.DUMMYFUNCTION("""COMPUTED_VALUE"""),300000.0)</f>
        <v>300000</v>
      </c>
      <c r="G10" s="3" t="str">
        <f>IFERROR(__xludf.DUMMYFUNCTION("""COMPUTED_VALUE"""),"RISK")</f>
        <v>RISK</v>
      </c>
      <c r="H10" s="3">
        <f>IFERROR(__xludf.DUMMYFUNCTION("""COMPUTED_VALUE"""),40.0)</f>
        <v>40</v>
      </c>
      <c r="I10" s="3" t="str">
        <f>IFERROR(__xludf.DUMMYFUNCTION("""COMPUTED_VALUE"""),"DANGEROUS")</f>
        <v>DANGEROUS</v>
      </c>
      <c r="J10" s="4"/>
      <c r="K10" s="4"/>
      <c r="L10" s="4"/>
      <c r="M10" s="4"/>
      <c r="N10" s="4"/>
      <c r="O10" s="3"/>
      <c r="P10" s="3"/>
      <c r="Q10" s="3"/>
      <c r="R10" s="3">
        <f>IFERROR(__xludf.DUMMYFUNCTION("""COMPUTED_VALUE"""),4064.0)</f>
        <v>4064</v>
      </c>
      <c r="S10" s="3"/>
      <c r="T10" s="3"/>
      <c r="U10" s="3"/>
      <c r="V10" s="3"/>
      <c r="W10" s="3"/>
    </row>
    <row r="11">
      <c r="A11" s="3" t="str">
        <f>IFERROR(__xludf.DUMMYFUNCTION("""COMPUTED_VALUE"""),"JEANS GARMENTS")</f>
        <v>JEANS GARMENTS</v>
      </c>
      <c r="B11" s="3" t="str">
        <f>IFERROR(__xludf.DUMMYFUNCTION("""COMPUTED_VALUE"""),"JEEVAN YADAV")</f>
        <v>JEEVAN YADAV</v>
      </c>
      <c r="C11" s="3">
        <f>IFERROR(__xludf.DUMMYFUNCTION("""COMPUTED_VALUE"""),8.969479506E9)</f>
        <v>8969479506</v>
      </c>
      <c r="D11" s="4">
        <f>IFERROR(__xludf.DUMMYFUNCTION("""COMPUTED_VALUE"""),28552.0)</f>
        <v>28552</v>
      </c>
      <c r="E11" s="3">
        <f>IFERROR(__xludf.DUMMYFUNCTION("""COMPUTED_VALUE"""),158.0)</f>
        <v>158</v>
      </c>
      <c r="F11" s="3">
        <f>IFERROR(__xludf.DUMMYFUNCTION("""COMPUTED_VALUE"""),300000.0)</f>
        <v>300000</v>
      </c>
      <c r="G11" s="3" t="str">
        <f>IFERROR(__xludf.DUMMYFUNCTION("""COMPUTED_VALUE"""),"RISK")</f>
        <v>RISK</v>
      </c>
      <c r="H11" s="3">
        <f>IFERROR(__xludf.DUMMYFUNCTION("""COMPUTED_VALUE"""),40.0)</f>
        <v>40</v>
      </c>
      <c r="I11" s="3" t="str">
        <f>IFERROR(__xludf.DUMMYFUNCTION("""COMPUTED_VALUE"""),"DANGEROUS")</f>
        <v>DANGEROUS</v>
      </c>
      <c r="J11" s="4"/>
      <c r="K11" s="4"/>
      <c r="L11" s="4"/>
      <c r="M11" s="4"/>
      <c r="N11" s="4"/>
      <c r="O11" s="3"/>
      <c r="P11" s="3"/>
      <c r="Q11" s="3"/>
      <c r="R11" s="3">
        <f>IFERROR(__xludf.DUMMYFUNCTION("""COMPUTED_VALUE"""),28552.0)</f>
        <v>28552</v>
      </c>
      <c r="S11" s="3"/>
      <c r="T11" s="3"/>
      <c r="U11" s="3"/>
      <c r="V11" s="3"/>
      <c r="W11" s="3"/>
    </row>
    <row r="12">
      <c r="A12" s="3" t="str">
        <f>IFERROR(__xludf.DUMMYFUNCTION("""COMPUTED_VALUE"""),"GIP EMPORIUM PRIVATE LIMITED")</f>
        <v>GIP EMPORIUM PRIVATE LIMITED</v>
      </c>
      <c r="B12" s="3" t="str">
        <f>IFERROR(__xludf.DUMMYFUNCTION("""COMPUTED_VALUE"""),"JEEVAN YADAV")</f>
        <v>JEEVAN YADAV</v>
      </c>
      <c r="C12" s="3">
        <f>IFERROR(__xludf.DUMMYFUNCTION("""COMPUTED_VALUE"""),7.827766501E9)</f>
        <v>7827766501</v>
      </c>
      <c r="D12" s="4">
        <f>IFERROR(__xludf.DUMMYFUNCTION("""COMPUTED_VALUE"""),52536.0)</f>
        <v>52536</v>
      </c>
      <c r="E12" s="3">
        <f>IFERROR(__xludf.DUMMYFUNCTION("""COMPUTED_VALUE"""),154.0)</f>
        <v>154</v>
      </c>
      <c r="F12" s="3">
        <f>IFERROR(__xludf.DUMMYFUNCTION("""COMPUTED_VALUE"""),300000.0)</f>
        <v>300000</v>
      </c>
      <c r="G12" s="3" t="str">
        <f>IFERROR(__xludf.DUMMYFUNCTION("""COMPUTED_VALUE"""),"RISK")</f>
        <v>RISK</v>
      </c>
      <c r="H12" s="3">
        <f>IFERROR(__xludf.DUMMYFUNCTION("""COMPUTED_VALUE"""),40.0)</f>
        <v>40</v>
      </c>
      <c r="I12" s="3" t="str">
        <f>IFERROR(__xludf.DUMMYFUNCTION("""COMPUTED_VALUE"""),"DANGEROUS")</f>
        <v>DANGEROUS</v>
      </c>
      <c r="J12" s="4"/>
      <c r="K12" s="4"/>
      <c r="L12" s="4"/>
      <c r="M12" s="4"/>
      <c r="N12" s="4"/>
      <c r="O12" s="3"/>
      <c r="P12" s="3"/>
      <c r="Q12" s="3"/>
      <c r="R12" s="3">
        <f>IFERROR(__xludf.DUMMYFUNCTION("""COMPUTED_VALUE"""),52536.0)</f>
        <v>52536</v>
      </c>
      <c r="S12" s="3"/>
      <c r="T12" s="3"/>
      <c r="U12" s="3"/>
      <c r="V12" s="3"/>
      <c r="W12" s="3"/>
    </row>
    <row r="13">
      <c r="A13" s="3" t="str">
        <f>IFERROR(__xludf.DUMMYFUNCTION("""COMPUTED_VALUE"""),"KAMAL DRESSES &amp; SARI CENTER")</f>
        <v>KAMAL DRESSES &amp; SARI CENTER</v>
      </c>
      <c r="B13" s="3" t="str">
        <f>IFERROR(__xludf.DUMMYFUNCTION("""COMPUTED_VALUE"""),"JEEVAN YADAV")</f>
        <v>JEEVAN YADAV</v>
      </c>
      <c r="C13" s="3">
        <f>IFERROR(__xludf.DUMMYFUNCTION("""COMPUTED_VALUE"""),8.210837873E9)</f>
        <v>8210837873</v>
      </c>
      <c r="D13" s="4">
        <f>IFERROR(__xludf.DUMMYFUNCTION("""COMPUTED_VALUE"""),1507.0)</f>
        <v>1507</v>
      </c>
      <c r="E13" s="3">
        <f>IFERROR(__xludf.DUMMYFUNCTION("""COMPUTED_VALUE"""),151.0)</f>
        <v>151</v>
      </c>
      <c r="F13" s="3">
        <f>IFERROR(__xludf.DUMMYFUNCTION("""COMPUTED_VALUE"""),300000.0)</f>
        <v>300000</v>
      </c>
      <c r="G13" s="3" t="str">
        <f>IFERROR(__xludf.DUMMYFUNCTION("""COMPUTED_VALUE"""),"NORMAL")</f>
        <v>NORMAL</v>
      </c>
      <c r="H13" s="3">
        <f>IFERROR(__xludf.DUMMYFUNCTION("""COMPUTED_VALUE"""),35.0)</f>
        <v>35</v>
      </c>
      <c r="I13" s="3" t="str">
        <f>IFERROR(__xludf.DUMMYFUNCTION("""COMPUTED_VALUE"""),"DANGEROUS")</f>
        <v>DANGEROUS</v>
      </c>
      <c r="J13" s="4"/>
      <c r="K13" s="4"/>
      <c r="L13" s="4"/>
      <c r="M13" s="4"/>
      <c r="N13" s="4"/>
      <c r="O13" s="3"/>
      <c r="P13" s="3"/>
      <c r="Q13" s="3"/>
      <c r="R13" s="3">
        <f>IFERROR(__xludf.DUMMYFUNCTION("""COMPUTED_VALUE"""),1507.0)</f>
        <v>1507</v>
      </c>
      <c r="S13" s="3"/>
      <c r="T13" s="3"/>
      <c r="U13" s="3"/>
      <c r="V13" s="3"/>
      <c r="W13" s="3"/>
    </row>
    <row r="14">
      <c r="A14" s="3" t="str">
        <f>IFERROR(__xludf.DUMMYFUNCTION("""COMPUTED_VALUE"""),"ASHOK HANDLOOM")</f>
        <v>ASHOK HANDLOOM</v>
      </c>
      <c r="B14" s="3" t="str">
        <f>IFERROR(__xludf.DUMMYFUNCTION("""COMPUTED_VALUE"""),"JEEVAN YADAV")</f>
        <v>JEEVAN YADAV</v>
      </c>
      <c r="C14" s="3">
        <f>IFERROR(__xludf.DUMMYFUNCTION("""COMPUTED_VALUE"""),9.708884407E9)</f>
        <v>9708884407</v>
      </c>
      <c r="D14" s="4">
        <f>IFERROR(__xludf.DUMMYFUNCTION("""COMPUTED_VALUE"""),195212.0)</f>
        <v>195212</v>
      </c>
      <c r="E14" s="3">
        <f>IFERROR(__xludf.DUMMYFUNCTION("""COMPUTED_VALUE"""),69.0)</f>
        <v>69</v>
      </c>
      <c r="F14" s="3">
        <f>IFERROR(__xludf.DUMMYFUNCTION("""COMPUTED_VALUE"""),300000.0)</f>
        <v>300000</v>
      </c>
      <c r="G14" s="3" t="str">
        <f>IFERROR(__xludf.DUMMYFUNCTION("""COMPUTED_VALUE"""),"NORMAL")</f>
        <v>NORMAL</v>
      </c>
      <c r="H14" s="3">
        <f>IFERROR(__xludf.DUMMYFUNCTION("""COMPUTED_VALUE"""),0.0)</f>
        <v>0</v>
      </c>
      <c r="I14" s="3" t="str">
        <f>IFERROR(__xludf.DUMMYFUNCTION("""COMPUTED_VALUE"""),"FALSE")</f>
        <v>FALSE</v>
      </c>
      <c r="J14" s="4"/>
      <c r="K14" s="4"/>
      <c r="L14" s="4"/>
      <c r="M14" s="4"/>
      <c r="N14" s="4"/>
      <c r="O14" s="3"/>
      <c r="P14" s="3"/>
      <c r="Q14" s="3"/>
      <c r="R14" s="3"/>
      <c r="S14" s="3"/>
      <c r="T14" s="3"/>
      <c r="U14" s="3">
        <f>IFERROR(__xludf.DUMMYFUNCTION("""COMPUTED_VALUE"""),195212.0)</f>
        <v>195212</v>
      </c>
      <c r="V14" s="3"/>
      <c r="W14" s="3"/>
    </row>
    <row r="15">
      <c r="A15" s="3" t="str">
        <f>IFERROR(__xludf.DUMMYFUNCTION("""COMPUTED_VALUE"""),"HUM SAFAR")</f>
        <v>HUM SAFAR</v>
      </c>
      <c r="B15" s="3" t="str">
        <f>IFERROR(__xludf.DUMMYFUNCTION("""COMPUTED_VALUE"""),"JEEVAN YADAV")</f>
        <v>JEEVAN YADAV</v>
      </c>
      <c r="C15" s="3">
        <f>IFERROR(__xludf.DUMMYFUNCTION("""COMPUTED_VALUE"""),9.57233777E9)</f>
        <v>9572337770</v>
      </c>
      <c r="D15" s="4">
        <f>IFERROR(__xludf.DUMMYFUNCTION("""COMPUTED_VALUE"""),41798.0)</f>
        <v>41798</v>
      </c>
      <c r="E15" s="3">
        <f>IFERROR(__xludf.DUMMYFUNCTION("""COMPUTED_VALUE"""),56.0)</f>
        <v>56</v>
      </c>
      <c r="F15" s="3">
        <f>IFERROR(__xludf.DUMMYFUNCTION("""COMPUTED_VALUE"""),300000.0)</f>
        <v>300000</v>
      </c>
      <c r="G15" s="3" t="str">
        <f>IFERROR(__xludf.DUMMYFUNCTION("""COMPUTED_VALUE"""),"NORMAL")</f>
        <v>NORMAL</v>
      </c>
      <c r="H15" s="3">
        <f>IFERROR(__xludf.DUMMYFUNCTION("""COMPUTED_VALUE"""),0.0)</f>
        <v>0</v>
      </c>
      <c r="I15" s="3" t="str">
        <f>IFERROR(__xludf.DUMMYFUNCTION("""COMPUTED_VALUE"""),"GOOD")</f>
        <v>GOOD</v>
      </c>
      <c r="J15" s="4"/>
      <c r="K15" s="4"/>
      <c r="L15" s="4"/>
      <c r="M15" s="4"/>
      <c r="N15" s="4"/>
      <c r="O15" s="3"/>
      <c r="P15" s="3"/>
      <c r="Q15" s="3"/>
      <c r="R15" s="3"/>
      <c r="S15" s="3"/>
      <c r="T15" s="3"/>
      <c r="U15" s="3">
        <f>IFERROR(__xludf.DUMMYFUNCTION("""COMPUTED_VALUE"""),41798.0)</f>
        <v>41798</v>
      </c>
      <c r="V15" s="3"/>
      <c r="W15" s="3"/>
    </row>
    <row r="16">
      <c r="A16" s="3" t="str">
        <f>IFERROR(__xludf.DUMMYFUNCTION("""COMPUTED_VALUE"""),"MILAN COLLECTION")</f>
        <v>MILAN COLLECTION</v>
      </c>
      <c r="B16" s="3" t="str">
        <f>IFERROR(__xludf.DUMMYFUNCTION("""COMPUTED_VALUE"""),"JEEVAN YADAV")</f>
        <v>JEEVAN YADAV</v>
      </c>
      <c r="C16" s="3">
        <f>IFERROR(__xludf.DUMMYFUNCTION("""COMPUTED_VALUE"""),9.708884407E9)</f>
        <v>9708884407</v>
      </c>
      <c r="D16" s="4">
        <f>IFERROR(__xludf.DUMMYFUNCTION("""COMPUTED_VALUE"""),53480.0)</f>
        <v>53480</v>
      </c>
      <c r="E16" s="3">
        <f>IFERROR(__xludf.DUMMYFUNCTION("""COMPUTED_VALUE"""),49.0)</f>
        <v>49</v>
      </c>
      <c r="F16" s="3">
        <f>IFERROR(__xludf.DUMMYFUNCTION("""COMPUTED_VALUE"""),300000.0)</f>
        <v>300000</v>
      </c>
      <c r="G16" s="3" t="str">
        <f>IFERROR(__xludf.DUMMYFUNCTION("""COMPUTED_VALUE"""),"NORMAL")</f>
        <v>NORMAL</v>
      </c>
      <c r="H16" s="3">
        <f>IFERROR(__xludf.DUMMYFUNCTION("""COMPUTED_VALUE"""),25.0)</f>
        <v>25</v>
      </c>
      <c r="I16" s="3" t="str">
        <f>IFERROR(__xludf.DUMMYFUNCTION("""COMPUTED_VALUE"""),"GOOD")</f>
        <v>GOOD</v>
      </c>
      <c r="J16" s="4"/>
      <c r="K16" s="4"/>
      <c r="L16" s="4"/>
      <c r="M16" s="4"/>
      <c r="N16" s="4"/>
      <c r="O16" s="3"/>
      <c r="P16" s="3"/>
      <c r="Q16" s="3"/>
      <c r="R16" s="3"/>
      <c r="S16" s="3"/>
      <c r="T16" s="3"/>
      <c r="U16" s="3">
        <f>IFERROR(__xludf.DUMMYFUNCTION("""COMPUTED_VALUE"""),53480.0)</f>
        <v>53480</v>
      </c>
      <c r="V16" s="3"/>
      <c r="W16" s="3"/>
    </row>
  </sheetData>
  <drawing r:id="rId1"/>
</worksheet>
</file>
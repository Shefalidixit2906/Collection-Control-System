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HISHEK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<sst xmlns="http://schemas.openxmlformats.org/spreadsheetml/2006/main" count="9" uniqueCount="9">
  <si>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Dealer Name </t>
  </si>
  <si>
    <t>Executive/Agent</t>
  </si>
  <si>
    <t>Contact Number</t>
  </si>
  <si>
    <t>Outstanding</t>
  </si>
  <si>
    <t>Max Overdue</t>
  </si>
  <si>
    <t>Credit Limit</t>
  </si>
  <si>
    <t>Risk Flag</t>
  </si>
  <si>
    <t>Risk Score</t>
  </si>
  <si>
    <t>Behaviour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</si>
</sst>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vertical="center"/>
    </xf>
    <xf borderId="1" fillId="0" fontId="3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>
        <v>46078.0</v>
      </c>
      <c r="K1" s="2">
        <v>46106.0</v>
      </c>
      <c r="L1" s="2">
        <v>46137.0</v>
      </c>
      <c r="M1" s="2">
        <v>46167.0</v>
      </c>
      <c r="N1" s="2">
        <v>46198.0</v>
      </c>
      <c r="O1" s="2">
        <v>46228.0</v>
      </c>
      <c r="P1" s="2">
        <v>46259.0</v>
      </c>
      <c r="Q1" s="2">
        <v>46290.0</v>
      </c>
      <c r="R1" s="2">
        <v>46320.0</v>
      </c>
      <c r="S1" s="2">
        <v>46351.0</v>
      </c>
      <c r="T1" s="2">
        <v>46381.0</v>
      </c>
      <c r="U1" s="2">
        <v>46048.0</v>
      </c>
      <c r="V1" s="2">
        <v>46079.0</v>
      </c>
      <c r="W1" s="2">
        <v>46107.0</v>
      </c>
      <c r="X1" s="3"/>
      <c r="Y1" s="3"/>
      <c r="Z1" s="3"/>
    </row>
    <row r="2">
      <c r="A2" s="4" t="str">
        <f>IFERROR(__xludf.DUMMYFUNCTION("QUERY(IMPORTRANGE(""https://docs.google.com/spreadsheets/d/1o4kGFTI80_EdoNgEzQs7R1-vO13rpAoNe3h9dk3MlSo/edit?gid=901326036#gid=901326036"", ""AGEING_ANALYSIS!A2:W""), ""select * where lower(Col2) = 'abhishek' or Col2 = 'Header_Name_Here'"", 1)"),"ARYAN EXCLUSIVE GARMANTS")</f>
        <v>ARYAN EXCLUSIVE GARMANTS</v>
      </c>
      <c r="B2" s="4" t="str">
        <f>IFERROR(__xludf.DUMMYFUNCTION("""COMPUTED_VALUE"""),"ABHISHEK")</f>
        <v>ABHISHEK</v>
      </c>
      <c r="C2" s="4" t="str">
        <f>IFERROR(__xludf.DUMMYFUNCTION("""COMPUTED_VALUE"""),"9839482345")</f>
        <v>9839482345</v>
      </c>
      <c r="D2" s="4" t="str">
        <f>IFERROR(__xludf.DUMMYFUNCTION("""COMPUTED_VALUE"""),"25453.84")</f>
        <v>25453.84</v>
      </c>
      <c r="E2" s="4" t="str">
        <f>IFERROR(__xludf.DUMMYFUNCTION("""COMPUTED_VALUE"""),"370")</f>
        <v>370</v>
      </c>
      <c r="F2" s="4" t="str">
        <f>IFERROR(__xludf.DUMMYFUNCTION("""COMPUTED_VALUE"""),"25000")</f>
        <v>25000</v>
      </c>
      <c r="G2" s="4" t="str">
        <f>IFERROR(__xludf.DUMMYFUNCTION("""COMPUTED_VALUE"""),"RISK")</f>
        <v>RISK</v>
      </c>
      <c r="H2" s="4" t="str">
        <f>IFERROR(__xludf.DUMMYFUNCTION("""COMPUTED_VALUE"""),"75")</f>
        <v>75</v>
      </c>
      <c r="I2" s="4" t="str">
        <f>IFERROR(__xludf.DUMMYFUNCTION("""COMPUTED_VALUE"""),"DANGEROUS")</f>
        <v>DANGEROUS</v>
      </c>
      <c r="J2" s="4" t="str">
        <f>IFERROR(__xludf.DUMMYFUNCTION("""COMPUTED_VALUE"""),"")</f>
        <v/>
      </c>
      <c r="K2" s="4" t="str">
        <f>IFERROR(__xludf.DUMMYFUNCTION("""COMPUTED_VALUE"""),"197.84")</f>
        <v>197.84</v>
      </c>
      <c r="L2" s="4" t="str">
        <f>IFERROR(__xludf.DUMMYFUNCTION("""COMPUTED_VALUE"""),"")</f>
        <v/>
      </c>
      <c r="M2" s="4" t="str">
        <f>IFERROR(__xludf.DUMMYFUNCTION("""COMPUTED_VALUE"""),"")</f>
        <v/>
      </c>
      <c r="N2" s="4" t="str">
        <f>IFERROR(__xludf.DUMMYFUNCTION("""COMPUTED_VALUE"""),"25256.00")</f>
        <v>25256.00</v>
      </c>
      <c r="O2" s="4" t="str">
        <f>IFERROR(__xludf.DUMMYFUNCTION("""COMPUTED_VALUE"""),"")</f>
        <v/>
      </c>
      <c r="P2" s="4" t="str">
        <f>IFERROR(__xludf.DUMMYFUNCTION("""COMPUTED_VALUE"""),"")</f>
        <v/>
      </c>
      <c r="Q2" s="4" t="str">
        <f>IFERROR(__xludf.DUMMYFUNCTION("""COMPUTED_VALUE"""),"")</f>
        <v/>
      </c>
      <c r="R2" s="4" t="str">
        <f>IFERROR(__xludf.DUMMYFUNCTION("""COMPUTED_VALUE"""),"")</f>
        <v/>
      </c>
      <c r="S2" s="4" t="str">
        <f>IFERROR(__xludf.DUMMYFUNCTION("""COMPUTED_VALUE"""),"")</f>
        <v/>
      </c>
      <c r="T2" s="4" t="str">
        <f>IFERROR(__xludf.DUMMYFUNCTION("""COMPUTED_VALUE"""),"")</f>
        <v/>
      </c>
      <c r="U2" s="4" t="str">
        <f>IFERROR(__xludf.DUMMYFUNCTION("""COMPUTED_VALUE"""),"")</f>
        <v/>
      </c>
      <c r="V2" s="4" t="str">
        <f>IFERROR(__xludf.DUMMYFUNCTION("""COMPUTED_VALUE"""),"")</f>
        <v/>
      </c>
      <c r="W2" s="4" t="str">
        <f>IFERROR(__xludf.DUMMYFUNCTION("""COMPUTED_VALUE"""),"")</f>
        <v/>
      </c>
    </row>
    <row r="3">
      <c r="A3" s="4" t="str">
        <f>IFERROR(__xludf.DUMMYFUNCTION("""COMPUTED_VALUE"""),"MAHENDRA HOSIERY")</f>
        <v>MAHENDRA HOSIERY</v>
      </c>
      <c r="B3" s="4" t="str">
        <f>IFERROR(__xludf.DUMMYFUNCTION("""COMPUTED_VALUE"""),"ABHISHEK")</f>
        <v>ABHISHEK</v>
      </c>
      <c r="C3" s="4">
        <f>IFERROR(__xludf.DUMMYFUNCTION("""COMPUTED_VALUE"""),8.858556554E9)</f>
        <v>8858556554</v>
      </c>
      <c r="D3" s="5">
        <f>IFERROR(__xludf.DUMMYFUNCTION("""COMPUTED_VALUE"""),660189.0)</f>
        <v>660189</v>
      </c>
      <c r="E3" s="4">
        <f>IFERROR(__xludf.DUMMYFUNCTION("""COMPUTED_VALUE"""),346.0)</f>
        <v>346</v>
      </c>
      <c r="F3" s="4">
        <f>IFERROR(__xludf.DUMMYFUNCTION("""COMPUTED_VALUE"""),200000.0)</f>
        <v>200000</v>
      </c>
      <c r="G3" s="4" t="str">
        <f>IFERROR(__xludf.DUMMYFUNCTION("""COMPUTED_VALUE"""),"RISK")</f>
        <v>RISK</v>
      </c>
      <c r="H3" s="4">
        <f>IFERROR(__xludf.DUMMYFUNCTION("""COMPUTED_VALUE"""),50.0)</f>
        <v>50</v>
      </c>
      <c r="I3" s="4" t="str">
        <f>IFERROR(__xludf.DUMMYFUNCTION("""COMPUTED_VALUE"""),"DANGEROUS")</f>
        <v>DANGEROUS</v>
      </c>
      <c r="J3" s="5"/>
      <c r="K3" s="4"/>
      <c r="L3" s="5">
        <f>IFERROR(__xludf.DUMMYFUNCTION("""COMPUTED_VALUE"""),153631.0)</f>
        <v>153631</v>
      </c>
      <c r="M3" s="5">
        <f>IFERROR(__xludf.DUMMYFUNCTION("""COMPUTED_VALUE"""),44335.0)</f>
        <v>44335</v>
      </c>
      <c r="N3" s="4"/>
      <c r="O3" s="4"/>
      <c r="P3" s="4">
        <f>IFERROR(__xludf.DUMMYFUNCTION("""COMPUTED_VALUE"""),38455.0)</f>
        <v>38455</v>
      </c>
      <c r="Q3" s="4">
        <f>IFERROR(__xludf.DUMMYFUNCTION("""COMPUTED_VALUE"""),294246.0)</f>
        <v>294246</v>
      </c>
      <c r="R3" s="4">
        <f>IFERROR(__xludf.DUMMYFUNCTION("""COMPUTED_VALUE"""),41961.0)</f>
        <v>41961</v>
      </c>
      <c r="S3" s="4"/>
      <c r="T3" s="4">
        <f>IFERROR(__xludf.DUMMYFUNCTION("""COMPUTED_VALUE"""),87561.0)</f>
        <v>87561</v>
      </c>
      <c r="U3" s="4"/>
      <c r="V3" s="4"/>
      <c r="W3" s="4"/>
    </row>
    <row r="4">
      <c r="A4" s="4" t="str">
        <f>IFERROR(__xludf.DUMMYFUNCTION("""COMPUTED_VALUE"""),"T.D.I. GALLERY")</f>
        <v>T.D.I. GALLERY</v>
      </c>
      <c r="B4" s="4" t="str">
        <f>IFERROR(__xludf.DUMMYFUNCTION("""COMPUTED_VALUE"""),"ABHISHEK")</f>
        <v>ABHISHEK</v>
      </c>
      <c r="C4" s="4">
        <f>IFERROR(__xludf.DUMMYFUNCTION("""COMPUTED_VALUE"""),9.415060365E9)</f>
        <v>9415060365</v>
      </c>
      <c r="D4" s="5">
        <f>IFERROR(__xludf.DUMMYFUNCTION("""COMPUTED_VALUE"""),430300.6)</f>
        <v>430300.6</v>
      </c>
      <c r="E4" s="4">
        <f>IFERROR(__xludf.DUMMYFUNCTION("""COMPUTED_VALUE"""),230.0)</f>
        <v>230</v>
      </c>
      <c r="F4" s="4">
        <f>IFERROR(__xludf.DUMMYFUNCTION("""COMPUTED_VALUE"""),500000.0)</f>
        <v>500000</v>
      </c>
      <c r="G4" s="4" t="str">
        <f>IFERROR(__xludf.DUMMYFUNCTION("""COMPUTED_VALUE"""),"RISK")</f>
        <v>RISK</v>
      </c>
      <c r="H4" s="4">
        <f>IFERROR(__xludf.DUMMYFUNCTION("""COMPUTED_VALUE"""),40.0)</f>
        <v>40</v>
      </c>
      <c r="I4" s="4" t="str">
        <f>IFERROR(__xludf.DUMMYFUNCTION("""COMPUTED_VALUE"""),"DANGEROUS")</f>
        <v>DANGEROUS</v>
      </c>
      <c r="J4" s="5"/>
      <c r="K4" s="4"/>
      <c r="L4" s="5"/>
      <c r="M4" s="5"/>
      <c r="N4" s="4"/>
      <c r="O4" s="4"/>
      <c r="P4" s="4">
        <f>IFERROR(__xludf.DUMMYFUNCTION("""COMPUTED_VALUE"""),0.3)</f>
        <v>0.3</v>
      </c>
      <c r="Q4" s="4">
        <f>IFERROR(__xludf.DUMMYFUNCTION("""COMPUTED_VALUE"""),140841.3)</f>
        <v>140841.3</v>
      </c>
      <c r="R4" s="4">
        <f>IFERROR(__xludf.DUMMYFUNCTION("""COMPUTED_VALUE"""),115183.0)</f>
        <v>115183</v>
      </c>
      <c r="S4" s="4">
        <f>IFERROR(__xludf.DUMMYFUNCTION("""COMPUTED_VALUE"""),72328.0)</f>
        <v>72328</v>
      </c>
      <c r="T4" s="4"/>
      <c r="U4" s="4">
        <f>IFERROR(__xludf.DUMMYFUNCTION("""COMPUTED_VALUE"""),101948.0)</f>
        <v>101948</v>
      </c>
      <c r="V4" s="4"/>
      <c r="W4" s="4"/>
    </row>
    <row r="5">
      <c r="A5" s="4" t="str">
        <f>IFERROR(__xludf.DUMMYFUNCTION("""COMPUTED_VALUE"""),"ANJANI POINT")</f>
        <v>ANJANI POINT</v>
      </c>
      <c r="B5" s="4" t="str">
        <f>IFERROR(__xludf.DUMMYFUNCTION("""COMPUTED_VALUE"""),"ABHISHEK")</f>
        <v>ABHISHEK</v>
      </c>
      <c r="C5" s="4">
        <f>IFERROR(__xludf.DUMMYFUNCTION("""COMPUTED_VALUE"""),9.598853417E9)</f>
        <v>9598853417</v>
      </c>
      <c r="D5" s="5">
        <f>IFERROR(__xludf.DUMMYFUNCTION("""COMPUTED_VALUE"""),36500.0)</f>
        <v>36500</v>
      </c>
      <c r="E5" s="4">
        <f>IFERROR(__xludf.DUMMYFUNCTION("""COMPUTED_VALUE"""),212.0)</f>
        <v>212</v>
      </c>
      <c r="F5" s="4">
        <f>IFERROR(__xludf.DUMMYFUNCTION("""COMPUTED_VALUE"""),100000.0)</f>
        <v>100000</v>
      </c>
      <c r="G5" s="4" t="str">
        <f>IFERROR(__xludf.DUMMYFUNCTION("""COMPUTED_VALUE"""),"RISK")</f>
        <v>RISK</v>
      </c>
      <c r="H5" s="4">
        <f>IFERROR(__xludf.DUMMYFUNCTION("""COMPUTED_VALUE"""),40.0)</f>
        <v>40</v>
      </c>
      <c r="I5" s="4" t="str">
        <f>IFERROR(__xludf.DUMMYFUNCTION("""COMPUTED_VALUE"""),"DANGEROUS")</f>
        <v>DANGEROUS</v>
      </c>
      <c r="J5" s="5"/>
      <c r="K5" s="4"/>
      <c r="L5" s="5"/>
      <c r="M5" s="5"/>
      <c r="N5" s="4"/>
      <c r="O5" s="4"/>
      <c r="P5" s="4">
        <f>IFERROR(__xludf.DUMMYFUNCTION("""COMPUTED_VALUE"""),1930.0)</f>
        <v>1930</v>
      </c>
      <c r="Q5" s="4"/>
      <c r="R5" s="4"/>
      <c r="S5" s="4"/>
      <c r="T5" s="4"/>
      <c r="U5" s="4">
        <f>IFERROR(__xludf.DUMMYFUNCTION("""COMPUTED_VALUE"""),34570.0)</f>
        <v>34570</v>
      </c>
      <c r="V5" s="4"/>
      <c r="W5" s="4"/>
    </row>
    <row r="6">
      <c r="A6" s="4" t="str">
        <f>IFERROR(__xludf.DUMMYFUNCTION("""COMPUTED_VALUE"""),"KAMALS")</f>
        <v>KAMALS</v>
      </c>
      <c r="B6" s="4" t="str">
        <f>IFERROR(__xludf.DUMMYFUNCTION("""COMPUTED_VALUE"""),"ABHISHEK")</f>
        <v>ABHISHEK</v>
      </c>
      <c r="C6" s="4">
        <f>IFERROR(__xludf.DUMMYFUNCTION("""COMPUTED_VALUE"""),9.795751681E9)</f>
        <v>9795751681</v>
      </c>
      <c r="D6" s="5">
        <f>IFERROR(__xludf.DUMMYFUNCTION("""COMPUTED_VALUE"""),38725.0)</f>
        <v>38725</v>
      </c>
      <c r="E6" s="4">
        <f>IFERROR(__xludf.DUMMYFUNCTION("""COMPUTED_VALUE"""),204.0)</f>
        <v>204</v>
      </c>
      <c r="F6" s="4">
        <f>IFERROR(__xludf.DUMMYFUNCTION("""COMPUTED_VALUE"""),50000.0)</f>
        <v>50000</v>
      </c>
      <c r="G6" s="4" t="str">
        <f>IFERROR(__xludf.DUMMYFUNCTION("""COMPUTED_VALUE"""),"RISK")</f>
        <v>RISK</v>
      </c>
      <c r="H6" s="4">
        <f>IFERROR(__xludf.DUMMYFUNCTION("""COMPUTED_VALUE"""),50.0)</f>
        <v>50</v>
      </c>
      <c r="I6" s="4" t="str">
        <f>IFERROR(__xludf.DUMMYFUNCTION("""COMPUTED_VALUE"""),"DANGEROUS")</f>
        <v>DANGEROUS</v>
      </c>
      <c r="J6" s="5"/>
      <c r="K6" s="4"/>
      <c r="L6" s="5"/>
      <c r="M6" s="5"/>
      <c r="N6" s="4"/>
      <c r="O6" s="4"/>
      <c r="P6" s="4"/>
      <c r="Q6" s="4">
        <f>IFERROR(__xludf.DUMMYFUNCTION("""COMPUTED_VALUE"""),38725.0)</f>
        <v>38725</v>
      </c>
      <c r="R6" s="4"/>
      <c r="S6" s="4"/>
      <c r="T6" s="4"/>
      <c r="U6" s="4"/>
      <c r="V6" s="4"/>
      <c r="W6" s="4"/>
    </row>
    <row r="7">
      <c r="A7" s="4" t="str">
        <f>IFERROR(__xludf.DUMMYFUNCTION("""COMPUTED_VALUE"""),"PRIYA COLLECTION &amp; GARMENTS")</f>
        <v>PRIYA COLLECTION &amp; GARMENTS</v>
      </c>
      <c r="B7" s="4" t="str">
        <f>IFERROR(__xludf.DUMMYFUNCTION("""COMPUTED_VALUE"""),"ABHISHEK")</f>
        <v>ABHISHEK</v>
      </c>
      <c r="C7" s="4">
        <f>IFERROR(__xludf.DUMMYFUNCTION("""COMPUTED_VALUE"""),7.388921421E9)</f>
        <v>7388921421</v>
      </c>
      <c r="D7" s="5">
        <f>IFERROR(__xludf.DUMMYFUNCTION("""COMPUTED_VALUE"""),268058.0)</f>
        <v>268058</v>
      </c>
      <c r="E7" s="4">
        <f>IFERROR(__xludf.DUMMYFUNCTION("""COMPUTED_VALUE"""),203.0)</f>
        <v>203</v>
      </c>
      <c r="F7" s="4">
        <f>IFERROR(__xludf.DUMMYFUNCTION("""COMPUTED_VALUE"""),500000.0)</f>
        <v>500000</v>
      </c>
      <c r="G7" s="4" t="str">
        <f>IFERROR(__xludf.DUMMYFUNCTION("""COMPUTED_VALUE"""),"RISK")</f>
        <v>RISK</v>
      </c>
      <c r="H7" s="4">
        <f>IFERROR(__xludf.DUMMYFUNCTION("""COMPUTED_VALUE"""),40.0)</f>
        <v>40</v>
      </c>
      <c r="I7" s="4" t="str">
        <f>IFERROR(__xludf.DUMMYFUNCTION("""COMPUTED_VALUE"""),"DANGEROUS")</f>
        <v>DANGEROUS</v>
      </c>
      <c r="J7" s="5"/>
      <c r="K7" s="4"/>
      <c r="L7" s="5"/>
      <c r="M7" s="5"/>
      <c r="N7" s="4"/>
      <c r="O7" s="4"/>
      <c r="P7" s="4"/>
      <c r="Q7" s="4">
        <f>IFERROR(__xludf.DUMMYFUNCTION("""COMPUTED_VALUE"""),140045.0)</f>
        <v>140045</v>
      </c>
      <c r="R7" s="4"/>
      <c r="S7" s="4">
        <f>IFERROR(__xludf.DUMMYFUNCTION("""COMPUTED_VALUE"""),28648.0)</f>
        <v>28648</v>
      </c>
      <c r="T7" s="4"/>
      <c r="U7" s="4">
        <f>IFERROR(__xludf.DUMMYFUNCTION("""COMPUTED_VALUE"""),99365.0)</f>
        <v>99365</v>
      </c>
      <c r="V7" s="4"/>
      <c r="W7" s="4"/>
    </row>
    <row r="8">
      <c r="A8" s="4" t="str">
        <f>IFERROR(__xludf.DUMMYFUNCTION("""COMPUTED_VALUE"""),"ANURAG VIVIDH VASTU  VIKRETA")</f>
        <v>ANURAG VIVIDH VASTU  VIKRETA</v>
      </c>
      <c r="B8" s="4" t="str">
        <f>IFERROR(__xludf.DUMMYFUNCTION("""COMPUTED_VALUE"""),"ABHISHEK")</f>
        <v>ABHISHEK</v>
      </c>
      <c r="C8" s="4">
        <f>IFERROR(__xludf.DUMMYFUNCTION("""COMPUTED_VALUE"""),9.415830978E9)</f>
        <v>9415830978</v>
      </c>
      <c r="D8" s="5">
        <f>IFERROR(__xludf.DUMMYFUNCTION("""COMPUTED_VALUE"""),43388.0)</f>
        <v>43388</v>
      </c>
      <c r="E8" s="4">
        <f>IFERROR(__xludf.DUMMYFUNCTION("""COMPUTED_VALUE"""),201.0)</f>
        <v>201</v>
      </c>
      <c r="F8" s="4">
        <f>IFERROR(__xludf.DUMMYFUNCTION("""COMPUTED_VALUE"""),150000.0)</f>
        <v>150000</v>
      </c>
      <c r="G8" s="4" t="str">
        <f>IFERROR(__xludf.DUMMYFUNCTION("""COMPUTED_VALUE"""),"RISK")</f>
        <v>RISK</v>
      </c>
      <c r="H8" s="4">
        <f>IFERROR(__xludf.DUMMYFUNCTION("""COMPUTED_VALUE"""),50.0)</f>
        <v>50</v>
      </c>
      <c r="I8" s="4" t="str">
        <f>IFERROR(__xludf.DUMMYFUNCTION("""COMPUTED_VALUE"""),"DANGEROUS")</f>
        <v>DANGEROUS</v>
      </c>
      <c r="J8" s="5"/>
      <c r="K8" s="4"/>
      <c r="L8" s="5"/>
      <c r="M8" s="5"/>
      <c r="N8" s="4"/>
      <c r="O8" s="4"/>
      <c r="P8" s="4"/>
      <c r="Q8" s="4">
        <f>IFERROR(__xludf.DUMMYFUNCTION("""COMPUTED_VALUE"""),12741.0)</f>
        <v>12741</v>
      </c>
      <c r="R8" s="4">
        <f>IFERROR(__xludf.DUMMYFUNCTION("""COMPUTED_VALUE"""),30647.0)</f>
        <v>30647</v>
      </c>
      <c r="S8" s="4"/>
      <c r="T8" s="4"/>
      <c r="U8" s="4"/>
      <c r="V8" s="4"/>
      <c r="W8" s="4"/>
    </row>
    <row r="9">
      <c r="A9" s="4" t="str">
        <f>IFERROR(__xludf.DUMMYFUNCTION("""COMPUTED_VALUE"""),"DHAWAN STORES")</f>
        <v>DHAWAN STORES</v>
      </c>
      <c r="B9" s="4" t="str">
        <f>IFERROR(__xludf.DUMMYFUNCTION("""COMPUTED_VALUE"""),"ABHISHEK")</f>
        <v>ABHISHEK</v>
      </c>
      <c r="C9" s="4">
        <f>IFERROR(__xludf.DUMMYFUNCTION("""COMPUTED_VALUE"""),8.528707777E9)</f>
        <v>8528707777</v>
      </c>
      <c r="D9" s="5">
        <f>IFERROR(__xludf.DUMMYFUNCTION("""COMPUTED_VALUE"""),440491.0)</f>
        <v>440491</v>
      </c>
      <c r="E9" s="4">
        <f>IFERROR(__xludf.DUMMYFUNCTION("""COMPUTED_VALUE"""),194.0)</f>
        <v>194</v>
      </c>
      <c r="F9" s="4">
        <f>IFERROR(__xludf.DUMMYFUNCTION("""COMPUTED_VALUE"""),1500000.0)</f>
        <v>1500000</v>
      </c>
      <c r="G9" s="4" t="str">
        <f>IFERROR(__xludf.DUMMYFUNCTION("""COMPUTED_VALUE"""),"RISK")</f>
        <v>RISK</v>
      </c>
      <c r="H9" s="4">
        <f>IFERROR(__xludf.DUMMYFUNCTION("""COMPUTED_VALUE"""),75.0)</f>
        <v>75</v>
      </c>
      <c r="I9" s="4" t="str">
        <f>IFERROR(__xludf.DUMMYFUNCTION("""COMPUTED_VALUE"""),"DANGEROUS")</f>
        <v>DANGEROUS</v>
      </c>
      <c r="J9" s="5"/>
      <c r="K9" s="4"/>
      <c r="L9" s="5"/>
      <c r="M9" s="5"/>
      <c r="N9" s="4"/>
      <c r="O9" s="4"/>
      <c r="P9" s="4"/>
      <c r="Q9" s="4">
        <f>IFERROR(__xludf.DUMMYFUNCTION("""COMPUTED_VALUE"""),20734.0)</f>
        <v>20734</v>
      </c>
      <c r="R9" s="4">
        <f>IFERROR(__xludf.DUMMYFUNCTION("""COMPUTED_VALUE"""),166356.0)</f>
        <v>166356</v>
      </c>
      <c r="S9" s="4">
        <f>IFERROR(__xludf.DUMMYFUNCTION("""COMPUTED_VALUE"""),67444.0)</f>
        <v>67444</v>
      </c>
      <c r="T9" s="4">
        <f>IFERROR(__xludf.DUMMYFUNCTION("""COMPUTED_VALUE"""),100418.0)</f>
        <v>100418</v>
      </c>
      <c r="U9" s="4">
        <f>IFERROR(__xludf.DUMMYFUNCTION("""COMPUTED_VALUE"""),85539.0)</f>
        <v>85539</v>
      </c>
      <c r="V9" s="4"/>
      <c r="W9" s="4"/>
    </row>
    <row r="10">
      <c r="A10" s="4" t="str">
        <f>IFERROR(__xludf.DUMMYFUNCTION("""COMPUTED_VALUE"""),"MAHI TRADERS")</f>
        <v>MAHI TRADERS</v>
      </c>
      <c r="B10" s="4" t="str">
        <f>IFERROR(__xludf.DUMMYFUNCTION("""COMPUTED_VALUE"""),"ABHISHEK")</f>
        <v>ABHISHEK</v>
      </c>
      <c r="C10" s="4">
        <f>IFERROR(__xludf.DUMMYFUNCTION("""COMPUTED_VALUE"""),7.348529589E9)</f>
        <v>7348529589</v>
      </c>
      <c r="D10" s="5">
        <f>IFERROR(__xludf.DUMMYFUNCTION("""COMPUTED_VALUE"""),724251.0)</f>
        <v>724251</v>
      </c>
      <c r="E10" s="4">
        <f>IFERROR(__xludf.DUMMYFUNCTION("""COMPUTED_VALUE"""),193.0)</f>
        <v>193</v>
      </c>
      <c r="F10" s="4">
        <f>IFERROR(__xludf.DUMMYFUNCTION("""COMPUTED_VALUE"""),500000.0)</f>
        <v>500000</v>
      </c>
      <c r="G10" s="4" t="str">
        <f>IFERROR(__xludf.DUMMYFUNCTION("""COMPUTED_VALUE"""),"RISK")</f>
        <v>RISK</v>
      </c>
      <c r="H10" s="4">
        <f>IFERROR(__xludf.DUMMYFUNCTION("""COMPUTED_VALUE"""),40.0)</f>
        <v>40</v>
      </c>
      <c r="I10" s="4" t="str">
        <f>IFERROR(__xludf.DUMMYFUNCTION("""COMPUTED_VALUE"""),"DANGEROUS")</f>
        <v>DANGEROUS</v>
      </c>
      <c r="J10" s="5"/>
      <c r="K10" s="4"/>
      <c r="L10" s="5"/>
      <c r="M10" s="5"/>
      <c r="N10" s="4"/>
      <c r="O10" s="4"/>
      <c r="P10" s="4"/>
      <c r="Q10" s="4">
        <f>IFERROR(__xludf.DUMMYFUNCTION("""COMPUTED_VALUE"""),119994.0)</f>
        <v>119994</v>
      </c>
      <c r="R10" s="4">
        <f>IFERROR(__xludf.DUMMYFUNCTION("""COMPUTED_VALUE"""),268199.0)</f>
        <v>268199</v>
      </c>
      <c r="S10" s="4">
        <f>IFERROR(__xludf.DUMMYFUNCTION("""COMPUTED_VALUE"""),159343.0)</f>
        <v>159343</v>
      </c>
      <c r="T10" s="4"/>
      <c r="U10" s="4">
        <f>IFERROR(__xludf.DUMMYFUNCTION("""COMPUTED_VALUE"""),176715.0)</f>
        <v>176715</v>
      </c>
      <c r="V10" s="4"/>
      <c r="W10" s="4"/>
    </row>
    <row r="11">
      <c r="A11" s="4" t="str">
        <f>IFERROR(__xludf.DUMMYFUNCTION("""COMPUTED_VALUE"""),"UNIQUE FASHION")</f>
        <v>UNIQUE FASHION</v>
      </c>
      <c r="B11" s="4" t="str">
        <f>IFERROR(__xludf.DUMMYFUNCTION("""COMPUTED_VALUE"""),"ABHISHEK")</f>
        <v>ABHISHEK</v>
      </c>
      <c r="C11" s="4">
        <f>IFERROR(__xludf.DUMMYFUNCTION("""COMPUTED_VALUE"""),9.838998284E9)</f>
        <v>9838998284</v>
      </c>
      <c r="D11" s="5">
        <f>IFERROR(__xludf.DUMMYFUNCTION("""COMPUTED_VALUE"""),98172.0)</f>
        <v>98172</v>
      </c>
      <c r="E11" s="4">
        <f>IFERROR(__xludf.DUMMYFUNCTION("""COMPUTED_VALUE"""),189.0)</f>
        <v>189</v>
      </c>
      <c r="F11" s="4">
        <f>IFERROR(__xludf.DUMMYFUNCTION("""COMPUTED_VALUE"""),300000.0)</f>
        <v>300000</v>
      </c>
      <c r="G11" s="4" t="str">
        <f>IFERROR(__xludf.DUMMYFUNCTION("""COMPUTED_VALUE"""),"RISK")</f>
        <v>RISK</v>
      </c>
      <c r="H11" s="4">
        <f>IFERROR(__xludf.DUMMYFUNCTION("""COMPUTED_VALUE"""),40.0)</f>
        <v>40</v>
      </c>
      <c r="I11" s="4" t="str">
        <f>IFERROR(__xludf.DUMMYFUNCTION("""COMPUTED_VALUE"""),"DANGEROUS")</f>
        <v>DANGEROUS</v>
      </c>
      <c r="J11" s="5"/>
      <c r="K11" s="4"/>
      <c r="L11" s="5"/>
      <c r="M11" s="5"/>
      <c r="N11" s="4"/>
      <c r="O11" s="4"/>
      <c r="P11" s="4"/>
      <c r="Q11" s="4">
        <f>IFERROR(__xludf.DUMMYFUNCTION("""COMPUTED_VALUE"""),11126.0)</f>
        <v>11126</v>
      </c>
      <c r="R11" s="4">
        <f>IFERROR(__xludf.DUMMYFUNCTION("""COMPUTED_VALUE"""),49409.0)</f>
        <v>49409</v>
      </c>
      <c r="S11" s="4">
        <f>IFERROR(__xludf.DUMMYFUNCTION("""COMPUTED_VALUE"""),37637.0)</f>
        <v>37637</v>
      </c>
      <c r="T11" s="4"/>
      <c r="U11" s="4"/>
      <c r="V11" s="4"/>
      <c r="W11" s="4"/>
    </row>
    <row r="12">
      <c r="A12" s="4" t="str">
        <f>IFERROR(__xludf.DUMMYFUNCTION("""COMPUTED_VALUE"""),"ANAND GARMENTS BANDA")</f>
        <v>ANAND GARMENTS BANDA</v>
      </c>
      <c r="B12" s="4" t="str">
        <f>IFERROR(__xludf.DUMMYFUNCTION("""COMPUTED_VALUE"""),"ABHISHEK")</f>
        <v>ABHISHEK</v>
      </c>
      <c r="C12" s="4">
        <f>IFERROR(__xludf.DUMMYFUNCTION("""COMPUTED_VALUE"""),8.188848893E9)</f>
        <v>8188848893</v>
      </c>
      <c r="D12" s="5">
        <f>IFERROR(__xludf.DUMMYFUNCTION("""COMPUTED_VALUE"""),15229.0)</f>
        <v>15229</v>
      </c>
      <c r="E12" s="4">
        <f>IFERROR(__xludf.DUMMYFUNCTION("""COMPUTED_VALUE"""),182.0)</f>
        <v>182</v>
      </c>
      <c r="F12" s="4">
        <f>IFERROR(__xludf.DUMMYFUNCTION("""COMPUTED_VALUE"""),150000.0)</f>
        <v>150000</v>
      </c>
      <c r="G12" s="4" t="str">
        <f>IFERROR(__xludf.DUMMYFUNCTION("""COMPUTED_VALUE"""),"RISK")</f>
        <v>RISK</v>
      </c>
      <c r="H12" s="4">
        <f>IFERROR(__xludf.DUMMYFUNCTION("""COMPUTED_VALUE"""),50.0)</f>
        <v>50</v>
      </c>
      <c r="I12" s="4" t="str">
        <f>IFERROR(__xludf.DUMMYFUNCTION("""COMPUTED_VALUE"""),"DANGEROUS")</f>
        <v>DANGEROUS</v>
      </c>
      <c r="J12" s="5"/>
      <c r="K12" s="4"/>
      <c r="L12" s="5"/>
      <c r="M12" s="5"/>
      <c r="N12" s="4"/>
      <c r="O12" s="4"/>
      <c r="P12" s="4"/>
      <c r="Q12" s="4">
        <f>IFERROR(__xludf.DUMMYFUNCTION("""COMPUTED_VALUE"""),2715.0)</f>
        <v>2715</v>
      </c>
      <c r="R12" s="4"/>
      <c r="S12" s="4"/>
      <c r="T12" s="4"/>
      <c r="U12" s="4">
        <f>IFERROR(__xludf.DUMMYFUNCTION("""COMPUTED_VALUE"""),12514.0)</f>
        <v>12514</v>
      </c>
      <c r="V12" s="4"/>
      <c r="W12" s="4"/>
    </row>
    <row r="13">
      <c r="A13" s="4" t="str">
        <f>IFERROR(__xludf.DUMMYFUNCTION("""COMPUTED_VALUE"""),"MANGAL JYOTI")</f>
        <v>MANGAL JYOTI</v>
      </c>
      <c r="B13" s="4" t="str">
        <f>IFERROR(__xludf.DUMMYFUNCTION("""COMPUTED_VALUE"""),"ABHISHEK")</f>
        <v>ABHISHEK</v>
      </c>
      <c r="C13" s="4">
        <f>IFERROR(__xludf.DUMMYFUNCTION("""COMPUTED_VALUE"""),9.415306984E9)</f>
        <v>9415306984</v>
      </c>
      <c r="D13" s="5">
        <f>IFERROR(__xludf.DUMMYFUNCTION("""COMPUTED_VALUE"""),187665.0)</f>
        <v>187665</v>
      </c>
      <c r="E13" s="4">
        <f>IFERROR(__xludf.DUMMYFUNCTION("""COMPUTED_VALUE"""),182.0)</f>
        <v>182</v>
      </c>
      <c r="F13" s="4">
        <f>IFERROR(__xludf.DUMMYFUNCTION("""COMPUTED_VALUE"""),500000.0)</f>
        <v>500000</v>
      </c>
      <c r="G13" s="4" t="str">
        <f>IFERROR(__xludf.DUMMYFUNCTION("""COMPUTED_VALUE"""),"RISK")</f>
        <v>RISK</v>
      </c>
      <c r="H13" s="4">
        <f>IFERROR(__xludf.DUMMYFUNCTION("""COMPUTED_VALUE"""),75.0)</f>
        <v>75</v>
      </c>
      <c r="I13" s="4" t="str">
        <f>IFERROR(__xludf.DUMMYFUNCTION("""COMPUTED_VALUE"""),"DANGEROUS")</f>
        <v>DANGEROUS</v>
      </c>
      <c r="J13" s="5"/>
      <c r="K13" s="4"/>
      <c r="L13" s="5"/>
      <c r="M13" s="5"/>
      <c r="N13" s="4"/>
      <c r="O13" s="4"/>
      <c r="P13" s="4"/>
      <c r="Q13" s="4">
        <f>IFERROR(__xludf.DUMMYFUNCTION("""COMPUTED_VALUE"""),30513.0)</f>
        <v>30513</v>
      </c>
      <c r="R13" s="4">
        <f>IFERROR(__xludf.DUMMYFUNCTION("""COMPUTED_VALUE"""),71029.0)</f>
        <v>71029</v>
      </c>
      <c r="S13" s="4"/>
      <c r="T13" s="4"/>
      <c r="U13" s="4">
        <f>IFERROR(__xludf.DUMMYFUNCTION("""COMPUTED_VALUE"""),86123.0)</f>
        <v>86123</v>
      </c>
      <c r="V13" s="4"/>
      <c r="W13" s="4"/>
    </row>
    <row r="14">
      <c r="A14" s="4" t="str">
        <f>IFERROR(__xludf.DUMMYFUNCTION("""COMPUTED_VALUE"""),"NEW DURGA GENERAL STORES")</f>
        <v>NEW DURGA GENERAL STORES</v>
      </c>
      <c r="B14" s="4" t="str">
        <f>IFERROR(__xludf.DUMMYFUNCTION("""COMPUTED_VALUE"""),"ABHISHEK")</f>
        <v>ABHISHEK</v>
      </c>
      <c r="C14" s="4">
        <f>IFERROR(__xludf.DUMMYFUNCTION("""COMPUTED_VALUE"""),9.9361495E9)</f>
        <v>9936149500</v>
      </c>
      <c r="D14" s="5">
        <f>IFERROR(__xludf.DUMMYFUNCTION("""COMPUTED_VALUE"""),649112.0)</f>
        <v>649112</v>
      </c>
      <c r="E14" s="4">
        <f>IFERROR(__xludf.DUMMYFUNCTION("""COMPUTED_VALUE"""),182.0)</f>
        <v>182</v>
      </c>
      <c r="F14" s="4">
        <f>IFERROR(__xludf.DUMMYFUNCTION("""COMPUTED_VALUE"""),500000.0)</f>
        <v>500000</v>
      </c>
      <c r="G14" s="4" t="str">
        <f>IFERROR(__xludf.DUMMYFUNCTION("""COMPUTED_VALUE"""),"RISK")</f>
        <v>RISK</v>
      </c>
      <c r="H14" s="4">
        <f>IFERROR(__xludf.DUMMYFUNCTION("""COMPUTED_VALUE"""),40.0)</f>
        <v>40</v>
      </c>
      <c r="I14" s="4" t="str">
        <f>IFERROR(__xludf.DUMMYFUNCTION("""COMPUTED_VALUE"""),"DANGEROUS")</f>
        <v>DANGEROUS</v>
      </c>
      <c r="J14" s="5"/>
      <c r="K14" s="4"/>
      <c r="L14" s="5"/>
      <c r="M14" s="5"/>
      <c r="N14" s="4"/>
      <c r="O14" s="4"/>
      <c r="P14" s="4"/>
      <c r="Q14" s="4">
        <f>IFERROR(__xludf.DUMMYFUNCTION("""COMPUTED_VALUE"""),36178.0)</f>
        <v>36178</v>
      </c>
      <c r="R14" s="4">
        <f>IFERROR(__xludf.DUMMYFUNCTION("""COMPUTED_VALUE"""),410491.0)</f>
        <v>410491</v>
      </c>
      <c r="S14" s="4">
        <f>IFERROR(__xludf.DUMMYFUNCTION("""COMPUTED_VALUE"""),135950.0)</f>
        <v>135950</v>
      </c>
      <c r="T14" s="4"/>
      <c r="U14" s="4">
        <f>IFERROR(__xludf.DUMMYFUNCTION("""COMPUTED_VALUE"""),66493.0)</f>
        <v>66493</v>
      </c>
      <c r="V14" s="4"/>
      <c r="W14" s="4"/>
    </row>
    <row r="15">
      <c r="A15" s="4" t="str">
        <f>IFERROR(__xludf.DUMMYFUNCTION("""COMPUTED_VALUE"""),"SATYAM FASHION")</f>
        <v>SATYAM FASHION</v>
      </c>
      <c r="B15" s="4" t="str">
        <f>IFERROR(__xludf.DUMMYFUNCTION("""COMPUTED_VALUE"""),"ABHISHEK")</f>
        <v>ABHISHEK</v>
      </c>
      <c r="C15" s="4">
        <f>IFERROR(__xludf.DUMMYFUNCTION("""COMPUTED_VALUE"""),9.452600599E9)</f>
        <v>9452600599</v>
      </c>
      <c r="D15" s="5">
        <f>IFERROR(__xludf.DUMMYFUNCTION("""COMPUTED_VALUE"""),55782.0)</f>
        <v>55782</v>
      </c>
      <c r="E15" s="4">
        <f>IFERROR(__xludf.DUMMYFUNCTION("""COMPUTED_VALUE"""),182.0)</f>
        <v>182</v>
      </c>
      <c r="F15" s="4">
        <f>IFERROR(__xludf.DUMMYFUNCTION("""COMPUTED_VALUE"""),100000.0)</f>
        <v>100000</v>
      </c>
      <c r="G15" s="4" t="str">
        <f>IFERROR(__xludf.DUMMYFUNCTION("""COMPUTED_VALUE"""),"RISK")</f>
        <v>RISK</v>
      </c>
      <c r="H15" s="4">
        <f>IFERROR(__xludf.DUMMYFUNCTION("""COMPUTED_VALUE"""),40.0)</f>
        <v>40</v>
      </c>
      <c r="I15" s="4" t="str">
        <f>IFERROR(__xludf.DUMMYFUNCTION("""COMPUTED_VALUE"""),"DANGEROUS")</f>
        <v>DANGEROUS</v>
      </c>
      <c r="J15" s="5"/>
      <c r="K15" s="4"/>
      <c r="L15" s="5"/>
      <c r="M15" s="5"/>
      <c r="N15" s="4"/>
      <c r="O15" s="4"/>
      <c r="P15" s="4"/>
      <c r="Q15" s="4">
        <f>IFERROR(__xludf.DUMMYFUNCTION("""COMPUTED_VALUE"""),18921.0)</f>
        <v>18921</v>
      </c>
      <c r="R15" s="4">
        <f>IFERROR(__xludf.DUMMYFUNCTION("""COMPUTED_VALUE"""),36861.0)</f>
        <v>36861</v>
      </c>
      <c r="S15" s="4"/>
      <c r="T15" s="4"/>
      <c r="U15" s="4"/>
      <c r="V15" s="4"/>
      <c r="W15" s="4"/>
    </row>
    <row r="16">
      <c r="A16" s="4" t="str">
        <f>IFERROR(__xludf.DUMMYFUNCTION("""COMPUTED_VALUE"""),"SHRI MANSA FASHION")</f>
        <v>SHRI MANSA FASHION</v>
      </c>
      <c r="B16" s="4" t="str">
        <f>IFERROR(__xludf.DUMMYFUNCTION("""COMPUTED_VALUE"""),"ABHISHEK")</f>
        <v>ABHISHEK</v>
      </c>
      <c r="C16" s="4">
        <f>IFERROR(__xludf.DUMMYFUNCTION("""COMPUTED_VALUE"""),9.415558934E9)</f>
        <v>9415558934</v>
      </c>
      <c r="D16" s="5">
        <f>IFERROR(__xludf.DUMMYFUNCTION("""COMPUTED_VALUE"""),50351.0)</f>
        <v>50351</v>
      </c>
      <c r="E16" s="4">
        <f>IFERROR(__xludf.DUMMYFUNCTION("""COMPUTED_VALUE"""),179.0)</f>
        <v>179</v>
      </c>
      <c r="F16" s="4">
        <f>IFERROR(__xludf.DUMMYFUNCTION("""COMPUTED_VALUE"""),500000.0)</f>
        <v>500000</v>
      </c>
      <c r="G16" s="4" t="str">
        <f>IFERROR(__xludf.DUMMYFUNCTION("""COMPUTED_VALUE"""),"RISK")</f>
        <v>RISK</v>
      </c>
      <c r="H16" s="4">
        <f>IFERROR(__xludf.DUMMYFUNCTION("""COMPUTED_VALUE"""),40.0)</f>
        <v>40</v>
      </c>
      <c r="I16" s="4" t="str">
        <f>IFERROR(__xludf.DUMMYFUNCTION("""COMPUTED_VALUE"""),"DANGEROUS")</f>
        <v>DANGEROUS</v>
      </c>
      <c r="J16" s="5"/>
      <c r="K16" s="4"/>
      <c r="L16" s="5"/>
      <c r="M16" s="5"/>
      <c r="N16" s="4"/>
      <c r="O16" s="4"/>
      <c r="P16" s="4"/>
      <c r="Q16" s="4"/>
      <c r="R16" s="4">
        <f>IFERROR(__xludf.DUMMYFUNCTION("""COMPUTED_VALUE"""),21997.0)</f>
        <v>21997</v>
      </c>
      <c r="S16" s="4"/>
      <c r="T16" s="4">
        <f>IFERROR(__xludf.DUMMYFUNCTION("""COMPUTED_VALUE"""),28354.0)</f>
        <v>28354</v>
      </c>
      <c r="U16" s="4"/>
      <c r="V16" s="4"/>
      <c r="W16" s="4"/>
    </row>
    <row r="17">
      <c r="A17" s="4" t="str">
        <f>IFERROR(__xludf.DUMMYFUNCTION("""COMPUTED_VALUE"""),"CHANDRALOK PARIDHAN")</f>
        <v>CHANDRALOK PARIDHAN</v>
      </c>
      <c r="B17" s="4" t="str">
        <f>IFERROR(__xludf.DUMMYFUNCTION("""COMPUTED_VALUE"""),"ABHISHEK")</f>
        <v>ABHISHEK</v>
      </c>
      <c r="C17" s="4">
        <f>IFERROR(__xludf.DUMMYFUNCTION("""COMPUTED_VALUE"""),9.919888898E9)</f>
        <v>9919888898</v>
      </c>
      <c r="D17" s="5">
        <f>IFERROR(__xludf.DUMMYFUNCTION("""COMPUTED_VALUE"""),23732.0)</f>
        <v>23732</v>
      </c>
      <c r="E17" s="4">
        <f>IFERROR(__xludf.DUMMYFUNCTION("""COMPUTED_VALUE"""),167.0)</f>
        <v>167</v>
      </c>
      <c r="F17" s="4">
        <f>IFERROR(__xludf.DUMMYFUNCTION("""COMPUTED_VALUE"""),300000.0)</f>
        <v>300000</v>
      </c>
      <c r="G17" s="4" t="str">
        <f>IFERROR(__xludf.DUMMYFUNCTION("""COMPUTED_VALUE"""),"RISK")</f>
        <v>RISK</v>
      </c>
      <c r="H17" s="4">
        <f>IFERROR(__xludf.DUMMYFUNCTION("""COMPUTED_VALUE"""),40.0)</f>
        <v>40</v>
      </c>
      <c r="I17" s="4" t="str">
        <f>IFERROR(__xludf.DUMMYFUNCTION("""COMPUTED_VALUE"""),"DANGEROUS")</f>
        <v>DANGEROUS</v>
      </c>
      <c r="J17" s="5"/>
      <c r="K17" s="4"/>
      <c r="L17" s="5"/>
      <c r="M17" s="5"/>
      <c r="N17" s="4"/>
      <c r="O17" s="4"/>
      <c r="P17" s="4"/>
      <c r="Q17" s="4"/>
      <c r="R17" s="4">
        <f>IFERROR(__xludf.DUMMYFUNCTION("""COMPUTED_VALUE"""),23732.0)</f>
        <v>23732</v>
      </c>
      <c r="S17" s="4"/>
      <c r="T17" s="4"/>
      <c r="U17" s="4"/>
      <c r="V17" s="4"/>
      <c r="W17" s="4"/>
    </row>
    <row r="18">
      <c r="A18" s="4" t="str">
        <f>IFERROR(__xludf.DUMMYFUNCTION("""COMPUTED_VALUE"""),"FASHION POINT")</f>
        <v>FASHION POINT</v>
      </c>
      <c r="B18" s="4" t="str">
        <f>IFERROR(__xludf.DUMMYFUNCTION("""COMPUTED_VALUE"""),"ABHISHEK")</f>
        <v>ABHISHEK</v>
      </c>
      <c r="C18" s="4">
        <f>IFERROR(__xludf.DUMMYFUNCTION("""COMPUTED_VALUE"""),9.93564434E9)</f>
        <v>9935644340</v>
      </c>
      <c r="D18" s="5">
        <f>IFERROR(__xludf.DUMMYFUNCTION("""COMPUTED_VALUE"""),53169.0)</f>
        <v>53169</v>
      </c>
      <c r="E18" s="4">
        <f>IFERROR(__xludf.DUMMYFUNCTION("""COMPUTED_VALUE"""),167.0)</f>
        <v>167</v>
      </c>
      <c r="F18" s="4">
        <f>IFERROR(__xludf.DUMMYFUNCTION("""COMPUTED_VALUE"""),300000.0)</f>
        <v>300000</v>
      </c>
      <c r="G18" s="4" t="str">
        <f>IFERROR(__xludf.DUMMYFUNCTION("""COMPUTED_VALUE"""),"RISK")</f>
        <v>RISK</v>
      </c>
      <c r="H18" s="4">
        <f>IFERROR(__xludf.DUMMYFUNCTION("""COMPUTED_VALUE"""),50.0)</f>
        <v>50</v>
      </c>
      <c r="I18" s="4" t="str">
        <f>IFERROR(__xludf.DUMMYFUNCTION("""COMPUTED_VALUE"""),"DANGEROUS")</f>
        <v>DANGEROUS</v>
      </c>
      <c r="J18" s="5"/>
      <c r="K18" s="4"/>
      <c r="L18" s="5"/>
      <c r="M18" s="5"/>
      <c r="N18" s="4"/>
      <c r="O18" s="4"/>
      <c r="P18" s="4"/>
      <c r="Q18" s="4"/>
      <c r="R18" s="4">
        <f>IFERROR(__xludf.DUMMYFUNCTION("""COMPUTED_VALUE"""),4416.0)</f>
        <v>4416</v>
      </c>
      <c r="S18" s="4"/>
      <c r="T18" s="4"/>
      <c r="U18" s="4">
        <f>IFERROR(__xludf.DUMMYFUNCTION("""COMPUTED_VALUE"""),48753.0)</f>
        <v>48753</v>
      </c>
      <c r="V18" s="4"/>
      <c r="W18" s="4"/>
    </row>
    <row r="19">
      <c r="A19" s="4" t="str">
        <f>IFERROR(__xludf.DUMMYFUNCTION("""COMPUTED_VALUE"""),"POONAM COLLECTION")</f>
        <v>POONAM COLLECTION</v>
      </c>
      <c r="B19" s="4" t="str">
        <f>IFERROR(__xludf.DUMMYFUNCTION("""COMPUTED_VALUE"""),"ABHISHEK")</f>
        <v>ABHISHEK</v>
      </c>
      <c r="C19" s="4">
        <f>IFERROR(__xludf.DUMMYFUNCTION("""COMPUTED_VALUE"""),9.120124914E9)</f>
        <v>9120124914</v>
      </c>
      <c r="D19" s="5">
        <f>IFERROR(__xludf.DUMMYFUNCTION("""COMPUTED_VALUE"""),293315.0)</f>
        <v>293315</v>
      </c>
      <c r="E19" s="4">
        <f>IFERROR(__xludf.DUMMYFUNCTION("""COMPUTED_VALUE"""),167.0)</f>
        <v>167</v>
      </c>
      <c r="F19" s="4">
        <f>IFERROR(__xludf.DUMMYFUNCTION("""COMPUTED_VALUE"""),500000.0)</f>
        <v>500000</v>
      </c>
      <c r="G19" s="4" t="str">
        <f>IFERROR(__xludf.DUMMYFUNCTION("""COMPUTED_VALUE"""),"RISK")</f>
        <v>RISK</v>
      </c>
      <c r="H19" s="4">
        <f>IFERROR(__xludf.DUMMYFUNCTION("""COMPUTED_VALUE"""),40.0)</f>
        <v>40</v>
      </c>
      <c r="I19" s="4" t="str">
        <f>IFERROR(__xludf.DUMMYFUNCTION("""COMPUTED_VALUE"""),"DANGEROUS")</f>
        <v>DANGEROUS</v>
      </c>
      <c r="J19" s="5"/>
      <c r="K19" s="4"/>
      <c r="L19" s="5"/>
      <c r="M19" s="5"/>
      <c r="N19" s="4"/>
      <c r="O19" s="4"/>
      <c r="P19" s="4"/>
      <c r="Q19" s="4"/>
      <c r="R19" s="4">
        <f>IFERROR(__xludf.DUMMYFUNCTION("""COMPUTED_VALUE"""),28145.0)</f>
        <v>28145</v>
      </c>
      <c r="S19" s="4">
        <f>IFERROR(__xludf.DUMMYFUNCTION("""COMPUTED_VALUE"""),77063.0)</f>
        <v>77063</v>
      </c>
      <c r="T19" s="4">
        <f>IFERROR(__xludf.DUMMYFUNCTION("""COMPUTED_VALUE"""),107810.0)</f>
        <v>107810</v>
      </c>
      <c r="U19" s="4">
        <f>IFERROR(__xludf.DUMMYFUNCTION("""COMPUTED_VALUE"""),80297.0)</f>
        <v>80297</v>
      </c>
      <c r="V19" s="4"/>
      <c r="W19" s="4"/>
    </row>
    <row r="20">
      <c r="A20" s="4" t="str">
        <f>IFERROR(__xludf.DUMMYFUNCTION("""COMPUTED_VALUE"""),"MAYURIKA SHOPING CENTER")</f>
        <v>MAYURIKA SHOPING CENTER</v>
      </c>
      <c r="B20" s="4" t="str">
        <f>IFERROR(__xludf.DUMMYFUNCTION("""COMPUTED_VALUE"""),"ABHISHEK")</f>
        <v>ABHISHEK</v>
      </c>
      <c r="C20" s="4">
        <f>IFERROR(__xludf.DUMMYFUNCTION("""COMPUTED_VALUE"""),7.007252221E9)</f>
        <v>7007252221</v>
      </c>
      <c r="D20" s="5">
        <f>IFERROR(__xludf.DUMMYFUNCTION("""COMPUTED_VALUE"""),0.2)</f>
        <v>0.2</v>
      </c>
      <c r="E20" s="4">
        <f>IFERROR(__xludf.DUMMYFUNCTION("""COMPUTED_VALUE"""),164.0)</f>
        <v>164</v>
      </c>
      <c r="F20" s="4">
        <f>IFERROR(__xludf.DUMMYFUNCTION("""COMPUTED_VALUE"""),500000.0)</f>
        <v>500000</v>
      </c>
      <c r="G20" s="4" t="str">
        <f>IFERROR(__xludf.DUMMYFUNCTION("""COMPUTED_VALUE"""),"RISK")</f>
        <v>RISK</v>
      </c>
      <c r="H20" s="4">
        <f>IFERROR(__xludf.DUMMYFUNCTION("""COMPUTED_VALUE"""),40.0)</f>
        <v>40</v>
      </c>
      <c r="I20" s="4" t="str">
        <f>IFERROR(__xludf.DUMMYFUNCTION("""COMPUTED_VALUE"""),"DANGEROUS")</f>
        <v>DANGEROUS</v>
      </c>
      <c r="J20" s="5"/>
      <c r="K20" s="4"/>
      <c r="L20" s="5"/>
      <c r="M20" s="5"/>
      <c r="N20" s="4"/>
      <c r="O20" s="4"/>
      <c r="P20" s="4"/>
      <c r="Q20" s="4"/>
      <c r="R20" s="4">
        <f>IFERROR(__xludf.DUMMYFUNCTION("""COMPUTED_VALUE"""),0.2)</f>
        <v>0.2</v>
      </c>
      <c r="S20" s="4"/>
      <c r="T20" s="4"/>
      <c r="U20" s="4"/>
      <c r="V20" s="4"/>
      <c r="W20" s="4"/>
    </row>
    <row r="21">
      <c r="A21" s="4" t="str">
        <f>IFERROR(__xludf.DUMMYFUNCTION("""COMPUTED_VALUE"""),"GAGANDEEP")</f>
        <v>GAGANDEEP</v>
      </c>
      <c r="B21" s="4" t="str">
        <f>IFERROR(__xludf.DUMMYFUNCTION("""COMPUTED_VALUE"""),"ABHISHEK")</f>
        <v>ABHISHEK</v>
      </c>
      <c r="C21" s="4">
        <f>IFERROR(__xludf.DUMMYFUNCTION("""COMPUTED_VALUE"""),6.394277412E9)</f>
        <v>6394277412</v>
      </c>
      <c r="D21" s="5">
        <f>IFERROR(__xludf.DUMMYFUNCTION("""COMPUTED_VALUE"""),2577.0)</f>
        <v>2577</v>
      </c>
      <c r="E21" s="4">
        <f>IFERROR(__xludf.DUMMYFUNCTION("""COMPUTED_VALUE"""),151.0)</f>
        <v>151</v>
      </c>
      <c r="F21" s="4">
        <f>IFERROR(__xludf.DUMMYFUNCTION("""COMPUTED_VALUE"""),150000.0)</f>
        <v>150000</v>
      </c>
      <c r="G21" s="4" t="str">
        <f>IFERROR(__xludf.DUMMYFUNCTION("""COMPUTED_VALUE"""),"RISK")</f>
        <v>RISK</v>
      </c>
      <c r="H21" s="4">
        <f>IFERROR(__xludf.DUMMYFUNCTION("""COMPUTED_VALUE"""),50.0)</f>
        <v>50</v>
      </c>
      <c r="I21" s="4" t="str">
        <f>IFERROR(__xludf.DUMMYFUNCTION("""COMPUTED_VALUE"""),"DANGEROUS")</f>
        <v>DANGEROUS</v>
      </c>
      <c r="J21" s="5"/>
      <c r="K21" s="4"/>
      <c r="L21" s="5"/>
      <c r="M21" s="5"/>
      <c r="N21" s="4"/>
      <c r="O21" s="4"/>
      <c r="P21" s="4"/>
      <c r="Q21" s="4"/>
      <c r="R21" s="4">
        <f>IFERROR(__xludf.DUMMYFUNCTION("""COMPUTED_VALUE"""),2577.0)</f>
        <v>2577</v>
      </c>
      <c r="S21" s="4"/>
      <c r="T21" s="4"/>
      <c r="U21" s="4"/>
      <c r="V21" s="4"/>
      <c r="W21" s="4"/>
    </row>
    <row r="22">
      <c r="A22" s="4" t="str">
        <f>IFERROR(__xludf.DUMMYFUNCTION("""COMPUTED_VALUE"""),"SHREE MANSA MEGA MART")</f>
        <v>SHREE MANSA MEGA MART</v>
      </c>
      <c r="B22" s="4" t="str">
        <f>IFERROR(__xludf.DUMMYFUNCTION("""COMPUTED_VALUE"""),"ABHISHEK")</f>
        <v>ABHISHEK</v>
      </c>
      <c r="C22" s="4">
        <f>IFERROR(__xludf.DUMMYFUNCTION("""COMPUTED_VALUE"""),9.30787623E9)</f>
        <v>9307876230</v>
      </c>
      <c r="D22" s="5">
        <f>IFERROR(__xludf.DUMMYFUNCTION("""COMPUTED_VALUE"""),114613.3)</f>
        <v>114613.3</v>
      </c>
      <c r="E22" s="4">
        <f>IFERROR(__xludf.DUMMYFUNCTION("""COMPUTED_VALUE"""),144.0)</f>
        <v>144</v>
      </c>
      <c r="F22" s="4">
        <f>IFERROR(__xludf.DUMMYFUNCTION("""COMPUTED_VALUE"""),300000.0)</f>
        <v>300000</v>
      </c>
      <c r="G22" s="4" t="str">
        <f>IFERROR(__xludf.DUMMYFUNCTION("""COMPUTED_VALUE"""),"RISK")</f>
        <v>RISK</v>
      </c>
      <c r="H22" s="4">
        <f>IFERROR(__xludf.DUMMYFUNCTION("""COMPUTED_VALUE"""),75.0)</f>
        <v>75</v>
      </c>
      <c r="I22" s="4" t="str">
        <f>IFERROR(__xludf.DUMMYFUNCTION("""COMPUTED_VALUE"""),"DANGEROUS")</f>
        <v>DANGEROUS</v>
      </c>
      <c r="J22" s="5"/>
      <c r="K22" s="4"/>
      <c r="L22" s="5"/>
      <c r="M22" s="5"/>
      <c r="N22" s="4"/>
      <c r="O22" s="4"/>
      <c r="P22" s="4"/>
      <c r="Q22" s="4"/>
      <c r="R22" s="4"/>
      <c r="S22" s="4">
        <f>IFERROR(__xludf.DUMMYFUNCTION("""COMPUTED_VALUE"""),40129.0)</f>
        <v>40129</v>
      </c>
      <c r="T22" s="4">
        <f>IFERROR(__xludf.DUMMYFUNCTION("""COMPUTED_VALUE"""),74484.3)</f>
        <v>74484.3</v>
      </c>
      <c r="U22" s="4"/>
      <c r="V22" s="4"/>
      <c r="W22" s="4"/>
    </row>
    <row r="23">
      <c r="A23" s="4" t="str">
        <f>IFERROR(__xludf.DUMMYFUNCTION("""COMPUTED_VALUE"""),"INDIAN DRESSES")</f>
        <v>INDIAN DRESSES</v>
      </c>
      <c r="B23" s="4" t="str">
        <f>IFERROR(__xludf.DUMMYFUNCTION("""COMPUTED_VALUE"""),"ABHISHEK")</f>
        <v>ABHISHEK</v>
      </c>
      <c r="C23" s="4">
        <f>IFERROR(__xludf.DUMMYFUNCTION("""COMPUTED_VALUE"""),9.415230859E9)</f>
        <v>9415230859</v>
      </c>
      <c r="D23" s="5">
        <f>IFERROR(__xludf.DUMMYFUNCTION("""COMPUTED_VALUE"""),490169.0)</f>
        <v>490169</v>
      </c>
      <c r="E23" s="4">
        <f>IFERROR(__xludf.DUMMYFUNCTION("""COMPUTED_VALUE"""),139.0)</f>
        <v>139</v>
      </c>
      <c r="F23" s="4">
        <f>IFERROR(__xludf.DUMMYFUNCTION("""COMPUTED_VALUE"""),100000.0)</f>
        <v>100000</v>
      </c>
      <c r="G23" s="4" t="str">
        <f>IFERROR(__xludf.DUMMYFUNCTION("""COMPUTED_VALUE"""),"RISK")</f>
        <v>RISK</v>
      </c>
      <c r="H23" s="4">
        <f>IFERROR(__xludf.DUMMYFUNCTION("""COMPUTED_VALUE"""),40.0)</f>
        <v>40</v>
      </c>
      <c r="I23" s="4" t="str">
        <f>IFERROR(__xludf.DUMMYFUNCTION("""COMPUTED_VALUE"""),"DANGEROUS")</f>
        <v>DANGEROUS</v>
      </c>
      <c r="J23" s="5"/>
      <c r="K23" s="4"/>
      <c r="L23" s="5"/>
      <c r="M23" s="5"/>
      <c r="N23" s="4"/>
      <c r="O23" s="4"/>
      <c r="P23" s="4"/>
      <c r="Q23" s="4"/>
      <c r="R23" s="4"/>
      <c r="S23" s="4">
        <f>IFERROR(__xludf.DUMMYFUNCTION("""COMPUTED_VALUE"""),209169.0)</f>
        <v>209169</v>
      </c>
      <c r="T23" s="4">
        <f>IFERROR(__xludf.DUMMYFUNCTION("""COMPUTED_VALUE"""),237334.0)</f>
        <v>237334</v>
      </c>
      <c r="U23" s="4">
        <f>IFERROR(__xludf.DUMMYFUNCTION("""COMPUTED_VALUE"""),43666.0)</f>
        <v>43666</v>
      </c>
      <c r="V23" s="4"/>
      <c r="W23" s="4"/>
    </row>
    <row r="24">
      <c r="A24" s="4" t="str">
        <f>IFERROR(__xludf.DUMMYFUNCTION("""COMPUTED_VALUE"""),"APSARA GARMENTS")</f>
        <v>APSARA GARMENTS</v>
      </c>
      <c r="B24" s="4" t="str">
        <f>IFERROR(__xludf.DUMMYFUNCTION("""COMPUTED_VALUE"""),"ABHISHEK")</f>
        <v>ABHISHEK</v>
      </c>
      <c r="C24" s="4">
        <f>IFERROR(__xludf.DUMMYFUNCTION("""COMPUTED_VALUE"""),9.65115384E9)</f>
        <v>9651153840</v>
      </c>
      <c r="D24" s="5">
        <f>IFERROR(__xludf.DUMMYFUNCTION("""COMPUTED_VALUE"""),64324.0)</f>
        <v>64324</v>
      </c>
      <c r="E24" s="4">
        <f>IFERROR(__xludf.DUMMYFUNCTION("""COMPUTED_VALUE"""),129.0)</f>
        <v>129</v>
      </c>
      <c r="F24" s="4">
        <f>IFERROR(__xludf.DUMMYFUNCTION("""COMPUTED_VALUE"""),500000.0)</f>
        <v>500000</v>
      </c>
      <c r="G24" s="4" t="str">
        <f>IFERROR(__xludf.DUMMYFUNCTION("""COMPUTED_VALUE"""),"RISK")</f>
        <v>RISK</v>
      </c>
      <c r="H24" s="4">
        <f>IFERROR(__xludf.DUMMYFUNCTION("""COMPUTED_VALUE"""),50.0)</f>
        <v>50</v>
      </c>
      <c r="I24" s="4" t="str">
        <f>IFERROR(__xludf.DUMMYFUNCTION("""COMPUTED_VALUE"""),"DANGEROUS")</f>
        <v>DANGEROUS</v>
      </c>
      <c r="J24" s="5"/>
      <c r="K24" s="4"/>
      <c r="L24" s="5"/>
      <c r="M24" s="5"/>
      <c r="N24" s="4"/>
      <c r="O24" s="4"/>
      <c r="P24" s="4"/>
      <c r="Q24" s="4"/>
      <c r="R24" s="4"/>
      <c r="S24" s="4">
        <f>IFERROR(__xludf.DUMMYFUNCTION("""COMPUTED_VALUE"""),3495.0)</f>
        <v>3495</v>
      </c>
      <c r="T24" s="4"/>
      <c r="U24" s="4">
        <f>IFERROR(__xludf.DUMMYFUNCTION("""COMPUTED_VALUE"""),60829.0)</f>
        <v>60829</v>
      </c>
      <c r="V24" s="4"/>
      <c r="W24" s="4"/>
    </row>
    <row r="25">
      <c r="A25" s="4" t="str">
        <f>IFERROR(__xludf.DUMMYFUNCTION("""COMPUTED_VALUE"""),"BARDIYA WEARS")</f>
        <v>BARDIYA WEARS</v>
      </c>
      <c r="B25" s="4" t="str">
        <f>IFERROR(__xludf.DUMMYFUNCTION("""COMPUTED_VALUE"""),"ABHISHEK")</f>
        <v>ABHISHEK</v>
      </c>
      <c r="C25" s="4">
        <f>IFERROR(__xludf.DUMMYFUNCTION("""COMPUTED_VALUE"""),9.415558934E9)</f>
        <v>9415558934</v>
      </c>
      <c r="D25" s="5">
        <f>IFERROR(__xludf.DUMMYFUNCTION("""COMPUTED_VALUE"""),236353.76)</f>
        <v>236353.76</v>
      </c>
      <c r="E25" s="4">
        <f>IFERROR(__xludf.DUMMYFUNCTION("""COMPUTED_VALUE"""),126.0)</f>
        <v>126</v>
      </c>
      <c r="F25" s="4">
        <f>IFERROR(__xludf.DUMMYFUNCTION("""COMPUTED_VALUE"""),500000.0)</f>
        <v>500000</v>
      </c>
      <c r="G25" s="4" t="str">
        <f>IFERROR(__xludf.DUMMYFUNCTION("""COMPUTED_VALUE"""),"RISK")</f>
        <v>RISK</v>
      </c>
      <c r="H25" s="4">
        <f>IFERROR(__xludf.DUMMYFUNCTION("""COMPUTED_VALUE"""),40.0)</f>
        <v>40</v>
      </c>
      <c r="I25" s="4" t="str">
        <f>IFERROR(__xludf.DUMMYFUNCTION("""COMPUTED_VALUE"""),"DANGEROUS")</f>
        <v>DANGEROUS</v>
      </c>
      <c r="J25" s="5"/>
      <c r="K25" s="4"/>
      <c r="L25" s="5"/>
      <c r="M25" s="5"/>
      <c r="N25" s="4"/>
      <c r="O25" s="4"/>
      <c r="P25" s="4"/>
      <c r="Q25" s="4"/>
      <c r="R25" s="4"/>
      <c r="S25" s="4">
        <f>IFERROR(__xludf.DUMMYFUNCTION("""COMPUTED_VALUE"""),15215.76)</f>
        <v>15215.76</v>
      </c>
      <c r="T25" s="4">
        <f>IFERROR(__xludf.DUMMYFUNCTION("""COMPUTED_VALUE"""),192832.0)</f>
        <v>192832</v>
      </c>
      <c r="U25" s="4">
        <f>IFERROR(__xludf.DUMMYFUNCTION("""COMPUTED_VALUE"""),28306.0)</f>
        <v>28306</v>
      </c>
      <c r="V25" s="4"/>
      <c r="W25" s="4"/>
    </row>
    <row r="26">
      <c r="A26" s="4" t="str">
        <f>IFERROR(__xludf.DUMMYFUNCTION("""COMPUTED_VALUE"""),"SHREE GOVIND DRESSES")</f>
        <v>SHREE GOVIND DRESSES</v>
      </c>
      <c r="B26" s="4" t="str">
        <f>IFERROR(__xludf.DUMMYFUNCTION("""COMPUTED_VALUE"""),"ABHISHEK")</f>
        <v>ABHISHEK</v>
      </c>
      <c r="C26" s="4">
        <f>IFERROR(__xludf.DUMMYFUNCTION("""COMPUTED_VALUE"""),7.985402962E9)</f>
        <v>7985402962</v>
      </c>
      <c r="D26" s="5">
        <f>IFERROR(__xludf.DUMMYFUNCTION("""COMPUTED_VALUE"""),80165.0)</f>
        <v>80165</v>
      </c>
      <c r="E26" s="4">
        <f>IFERROR(__xludf.DUMMYFUNCTION("""COMPUTED_VALUE"""),116.0)</f>
        <v>116</v>
      </c>
      <c r="F26" s="4">
        <f>IFERROR(__xludf.DUMMYFUNCTION("""COMPUTED_VALUE"""),500000.0)</f>
        <v>500000</v>
      </c>
      <c r="G26" s="4" t="str">
        <f>IFERROR(__xludf.DUMMYFUNCTION("""COMPUTED_VALUE"""),"RISK")</f>
        <v>RISK</v>
      </c>
      <c r="H26" s="4">
        <f>IFERROR(__xludf.DUMMYFUNCTION("""COMPUTED_VALUE"""),40.0)</f>
        <v>40</v>
      </c>
      <c r="I26" s="4" t="str">
        <f>IFERROR(__xludf.DUMMYFUNCTION("""COMPUTED_VALUE"""),"SLOW")</f>
        <v>SLOW</v>
      </c>
      <c r="J26" s="5"/>
      <c r="K26" s="4"/>
      <c r="L26" s="5"/>
      <c r="M26" s="5"/>
      <c r="N26" s="4"/>
      <c r="O26" s="4"/>
      <c r="P26" s="4"/>
      <c r="Q26" s="4"/>
      <c r="R26" s="4"/>
      <c r="S26" s="4"/>
      <c r="T26" s="4">
        <f>IFERROR(__xludf.DUMMYFUNCTION("""COMPUTED_VALUE"""),42131.0)</f>
        <v>42131</v>
      </c>
      <c r="U26" s="4">
        <f>IFERROR(__xludf.DUMMYFUNCTION("""COMPUTED_VALUE"""),38034.0)</f>
        <v>38034</v>
      </c>
      <c r="V26" s="4"/>
      <c r="W26" s="4"/>
    </row>
    <row r="27">
      <c r="A27" s="4" t="str">
        <f>IFERROR(__xludf.DUMMYFUNCTION("""COMPUTED_VALUE"""),"SONU GENERAL STORES")</f>
        <v>SONU GENERAL STORES</v>
      </c>
      <c r="B27" s="4" t="str">
        <f>IFERROR(__xludf.DUMMYFUNCTION("""COMPUTED_VALUE"""),"ABHISHEK")</f>
        <v>ABHISHEK</v>
      </c>
      <c r="C27" s="4">
        <f>IFERROR(__xludf.DUMMYFUNCTION("""COMPUTED_VALUE"""),8.090404444E9)</f>
        <v>8090404444</v>
      </c>
      <c r="D27" s="5">
        <f>IFERROR(__xludf.DUMMYFUNCTION("""COMPUTED_VALUE"""),27312.0)</f>
        <v>27312</v>
      </c>
      <c r="E27" s="4">
        <f>IFERROR(__xludf.DUMMYFUNCTION("""COMPUTED_VALUE"""),116.0)</f>
        <v>116</v>
      </c>
      <c r="F27" s="4">
        <f>IFERROR(__xludf.DUMMYFUNCTION("""COMPUTED_VALUE"""),1000000.0)</f>
        <v>1000000</v>
      </c>
      <c r="G27" s="4" t="str">
        <f>IFERROR(__xludf.DUMMYFUNCTION("""COMPUTED_VALUE"""),"RISK")</f>
        <v>RISK</v>
      </c>
      <c r="H27" s="4">
        <f>IFERROR(__xludf.DUMMYFUNCTION("""COMPUTED_VALUE"""),50.0)</f>
        <v>50</v>
      </c>
      <c r="I27" s="4" t="str">
        <f>IFERROR(__xludf.DUMMYFUNCTION("""COMPUTED_VALUE"""),"SLOW")</f>
        <v>SLOW</v>
      </c>
      <c r="J27" s="5"/>
      <c r="K27" s="4"/>
      <c r="L27" s="5"/>
      <c r="M27" s="5"/>
      <c r="N27" s="4"/>
      <c r="O27" s="4"/>
      <c r="P27" s="4"/>
      <c r="Q27" s="4"/>
      <c r="R27" s="4"/>
      <c r="S27" s="4"/>
      <c r="T27" s="4">
        <f>IFERROR(__xludf.DUMMYFUNCTION("""COMPUTED_VALUE"""),27312.0)</f>
        <v>27312</v>
      </c>
      <c r="U27" s="4"/>
      <c r="V27" s="4"/>
      <c r="W27" s="4"/>
    </row>
    <row r="28">
      <c r="A28" s="4" t="str">
        <f>IFERROR(__xludf.DUMMYFUNCTION("""COMPUTED_VALUE"""),"NITESH FASHION MART")</f>
        <v>NITESH FASHION MART</v>
      </c>
      <c r="B28" s="4" t="str">
        <f>IFERROR(__xludf.DUMMYFUNCTION("""COMPUTED_VALUE"""),"ABHISHEK")</f>
        <v>ABHISHEK</v>
      </c>
      <c r="C28" s="4">
        <f>IFERROR(__xludf.DUMMYFUNCTION("""COMPUTED_VALUE"""),9.93688775E9)</f>
        <v>9936887750</v>
      </c>
      <c r="D28" s="5">
        <f>IFERROR(__xludf.DUMMYFUNCTION("""COMPUTED_VALUE"""),163587.0)</f>
        <v>163587</v>
      </c>
      <c r="E28" s="4">
        <f>IFERROR(__xludf.DUMMYFUNCTION("""COMPUTED_VALUE"""),97.0)</f>
        <v>97</v>
      </c>
      <c r="F28" s="4">
        <f>IFERROR(__xludf.DUMMYFUNCTION("""COMPUTED_VALUE"""),300000.0)</f>
        <v>300000</v>
      </c>
      <c r="G28" s="4" t="str">
        <f>IFERROR(__xludf.DUMMYFUNCTION("""COMPUTED_VALUE"""),"RISK")</f>
        <v>RISK</v>
      </c>
      <c r="H28" s="4">
        <f>IFERROR(__xludf.DUMMYFUNCTION("""COMPUTED_VALUE"""),50.0)</f>
        <v>50</v>
      </c>
      <c r="I28" s="4" t="str">
        <f>IFERROR(__xludf.DUMMYFUNCTION("""COMPUTED_VALUE"""),"SLOW")</f>
        <v>SLOW</v>
      </c>
      <c r="J28" s="5"/>
      <c r="K28" s="4"/>
      <c r="L28" s="5"/>
      <c r="M28" s="5"/>
      <c r="N28" s="4"/>
      <c r="O28" s="4"/>
      <c r="P28" s="4"/>
      <c r="Q28" s="4"/>
      <c r="R28" s="4"/>
      <c r="S28" s="4"/>
      <c r="T28" s="4">
        <f>IFERROR(__xludf.DUMMYFUNCTION("""COMPUTED_VALUE"""),163587.0)</f>
        <v>163587</v>
      </c>
      <c r="U28" s="4"/>
      <c r="V28" s="4"/>
      <c r="W28" s="4"/>
    </row>
    <row r="29">
      <c r="A29" s="4" t="str">
        <f>IFERROR(__xludf.DUMMYFUNCTION("""COMPUTED_VALUE"""),"POPULAR ENTERPRISES")</f>
        <v>POPULAR ENTERPRISES</v>
      </c>
      <c r="B29" s="4" t="str">
        <f>IFERROR(__xludf.DUMMYFUNCTION("""COMPUTED_VALUE"""),"ABHISHEK")</f>
        <v>ABHISHEK</v>
      </c>
      <c r="C29" s="4">
        <f>IFERROR(__xludf.DUMMYFUNCTION("""COMPUTED_VALUE"""),7.80053733E9)</f>
        <v>7800537330</v>
      </c>
      <c r="D29" s="5">
        <f>IFERROR(__xludf.DUMMYFUNCTION("""COMPUTED_VALUE"""),144135.0)</f>
        <v>144135</v>
      </c>
      <c r="E29" s="4">
        <f>IFERROR(__xludf.DUMMYFUNCTION("""COMPUTED_VALUE"""),95.0)</f>
        <v>95</v>
      </c>
      <c r="F29" s="4">
        <f>IFERROR(__xludf.DUMMYFUNCTION("""COMPUTED_VALUE"""),300000.0)</f>
        <v>300000</v>
      </c>
      <c r="G29" s="4" t="str">
        <f>IFERROR(__xludf.DUMMYFUNCTION("""COMPUTED_VALUE"""),"RISK")</f>
        <v>RISK</v>
      </c>
      <c r="H29" s="4">
        <f>IFERROR(__xludf.DUMMYFUNCTION("""COMPUTED_VALUE"""),40.0)</f>
        <v>40</v>
      </c>
      <c r="I29" s="4" t="str">
        <f>IFERROR(__xludf.DUMMYFUNCTION("""COMPUTED_VALUE"""),"SLOW")</f>
        <v>SLOW</v>
      </c>
      <c r="J29" s="5"/>
      <c r="K29" s="4"/>
      <c r="L29" s="5"/>
      <c r="M29" s="5"/>
      <c r="N29" s="4"/>
      <c r="O29" s="4"/>
      <c r="P29" s="4"/>
      <c r="Q29" s="4"/>
      <c r="R29" s="4"/>
      <c r="S29" s="4"/>
      <c r="T29" s="4">
        <f>IFERROR(__xludf.DUMMYFUNCTION("""COMPUTED_VALUE"""),123592.0)</f>
        <v>123592</v>
      </c>
      <c r="U29" s="4">
        <f>IFERROR(__xludf.DUMMYFUNCTION("""COMPUTED_VALUE"""),20543.0)</f>
        <v>20543</v>
      </c>
      <c r="V29" s="4"/>
      <c r="W29" s="4"/>
    </row>
    <row r="30">
      <c r="A30" s="4" t="str">
        <f>IFERROR(__xludf.DUMMYFUNCTION("""COMPUTED_VALUE"""),"JANTA CLOTH HOUSE")</f>
        <v>JANTA CLOTH HOUSE</v>
      </c>
      <c r="B30" s="4" t="str">
        <f>IFERROR(__xludf.DUMMYFUNCTION("""COMPUTED_VALUE"""),"ABHISHEK")</f>
        <v>ABHISHEK</v>
      </c>
      <c r="C30" s="4">
        <f>IFERROR(__xludf.DUMMYFUNCTION("""COMPUTED_VALUE"""),9.451098488E9)</f>
        <v>9451098488</v>
      </c>
      <c r="D30" s="5">
        <f>IFERROR(__xludf.DUMMYFUNCTION("""COMPUTED_VALUE"""),87228.0)</f>
        <v>87228</v>
      </c>
      <c r="E30" s="4">
        <f>IFERROR(__xludf.DUMMYFUNCTION("""COMPUTED_VALUE"""),92.0)</f>
        <v>92</v>
      </c>
      <c r="F30" s="4">
        <f>IFERROR(__xludf.DUMMYFUNCTION("""COMPUTED_VALUE"""),500000.0)</f>
        <v>500000</v>
      </c>
      <c r="G30" s="4" t="str">
        <f>IFERROR(__xludf.DUMMYFUNCTION("""COMPUTED_VALUE"""),"NORMAL")</f>
        <v>NORMAL</v>
      </c>
      <c r="H30" s="4">
        <f>IFERROR(__xludf.DUMMYFUNCTION("""COMPUTED_VALUE"""),35.0)</f>
        <v>35</v>
      </c>
      <c r="I30" s="4" t="str">
        <f>IFERROR(__xludf.DUMMYFUNCTION("""COMPUTED_VALUE"""),"SLOW")</f>
        <v>SLOW</v>
      </c>
      <c r="J30" s="5"/>
      <c r="K30" s="4"/>
      <c r="L30" s="5"/>
      <c r="M30" s="5"/>
      <c r="N30" s="4"/>
      <c r="O30" s="4"/>
      <c r="P30" s="4"/>
      <c r="Q30" s="4"/>
      <c r="R30" s="4"/>
      <c r="S30" s="4"/>
      <c r="T30" s="4">
        <f>IFERROR(__xludf.DUMMYFUNCTION("""COMPUTED_VALUE"""),40627.0)</f>
        <v>40627</v>
      </c>
      <c r="U30" s="4">
        <f>IFERROR(__xludf.DUMMYFUNCTION("""COMPUTED_VALUE"""),46601.0)</f>
        <v>46601</v>
      </c>
      <c r="V30" s="4"/>
      <c r="W30" s="4"/>
    </row>
    <row r="31">
      <c r="A31" s="4" t="str">
        <f>IFERROR(__xludf.DUMMYFUNCTION("""COMPUTED_VALUE"""),"DRESS LAND BALIYA")</f>
        <v>DRESS LAND BALIYA</v>
      </c>
      <c r="B31" s="4" t="str">
        <f>IFERROR(__xludf.DUMMYFUNCTION("""COMPUTED_VALUE"""),"ABHISHEK")</f>
        <v>ABHISHEK</v>
      </c>
      <c r="C31" s="4">
        <f>IFERROR(__xludf.DUMMYFUNCTION("""COMPUTED_VALUE"""),8.840401634E9)</f>
        <v>8840401634</v>
      </c>
      <c r="D31" s="5">
        <f>IFERROR(__xludf.DUMMYFUNCTION("""COMPUTED_VALUE"""),239119.0)</f>
        <v>239119</v>
      </c>
      <c r="E31" s="4">
        <f>IFERROR(__xludf.DUMMYFUNCTION("""COMPUTED_VALUE"""),90.0)</f>
        <v>90</v>
      </c>
      <c r="F31" s="4">
        <f>IFERROR(__xludf.DUMMYFUNCTION("""COMPUTED_VALUE"""),500000.0)</f>
        <v>500000</v>
      </c>
      <c r="G31" s="4" t="str">
        <f>IFERROR(__xludf.DUMMYFUNCTION("""COMPUTED_VALUE"""),"NORMAL")</f>
        <v>NORMAL</v>
      </c>
      <c r="H31" s="4">
        <f>IFERROR(__xludf.DUMMYFUNCTION("""COMPUTED_VALUE"""),25.0)</f>
        <v>25</v>
      </c>
      <c r="I31" s="4" t="str">
        <f>IFERROR(__xludf.DUMMYFUNCTION("""COMPUTED_VALUE"""),"SLOW")</f>
        <v>SLOW</v>
      </c>
      <c r="J31" s="5"/>
      <c r="K31" s="4"/>
      <c r="L31" s="5"/>
      <c r="M31" s="5"/>
      <c r="N31" s="4"/>
      <c r="O31" s="4"/>
      <c r="P31" s="4"/>
      <c r="Q31" s="4"/>
      <c r="R31" s="4"/>
      <c r="S31" s="4"/>
      <c r="T31" s="4">
        <f>IFERROR(__xludf.DUMMYFUNCTION("""COMPUTED_VALUE"""),239119.0)</f>
        <v>239119</v>
      </c>
      <c r="U31" s="4"/>
      <c r="V31" s="4"/>
      <c r="W31" s="4"/>
    </row>
    <row r="32">
      <c r="A32" s="4" t="str">
        <f>IFERROR(__xludf.DUMMYFUNCTION("""COMPUTED_VALUE"""),"TANDON BROTHERS")</f>
        <v>TANDON BROTHERS</v>
      </c>
      <c r="B32" s="4" t="str">
        <f>IFERROR(__xludf.DUMMYFUNCTION("""COMPUTED_VALUE"""),"ABHISHEK")</f>
        <v>ABHISHEK</v>
      </c>
      <c r="C32" s="4">
        <f>IFERROR(__xludf.DUMMYFUNCTION("""COMPUTED_VALUE"""),9.83943434E9)</f>
        <v>9839434340</v>
      </c>
      <c r="D32" s="5">
        <f>IFERROR(__xludf.DUMMYFUNCTION("""COMPUTED_VALUE"""),44701.0)</f>
        <v>44701</v>
      </c>
      <c r="E32" s="4">
        <f>IFERROR(__xludf.DUMMYFUNCTION("""COMPUTED_VALUE"""),90.0)</f>
        <v>90</v>
      </c>
      <c r="F32" s="4">
        <f>IFERROR(__xludf.DUMMYFUNCTION("""COMPUTED_VALUE"""),300000.0)</f>
        <v>300000</v>
      </c>
      <c r="G32" s="4" t="str">
        <f>IFERROR(__xludf.DUMMYFUNCTION("""COMPUTED_VALUE"""),"NORMAL")</f>
        <v>NORMAL</v>
      </c>
      <c r="H32" s="4">
        <f>IFERROR(__xludf.DUMMYFUNCTION("""COMPUTED_VALUE"""),35.0)</f>
        <v>35</v>
      </c>
      <c r="I32" s="4" t="str">
        <f>IFERROR(__xludf.DUMMYFUNCTION("""COMPUTED_VALUE"""),"SLOW")</f>
        <v>SLOW</v>
      </c>
      <c r="J32" s="5"/>
      <c r="K32" s="4"/>
      <c r="L32" s="5"/>
      <c r="M32" s="5"/>
      <c r="N32" s="4"/>
      <c r="O32" s="4"/>
      <c r="P32" s="4"/>
      <c r="Q32" s="4"/>
      <c r="R32" s="4"/>
      <c r="S32" s="4"/>
      <c r="T32" s="4">
        <f>IFERROR(__xludf.DUMMYFUNCTION("""COMPUTED_VALUE"""),44701.0)</f>
        <v>44701</v>
      </c>
      <c r="U32" s="4"/>
      <c r="V32" s="4"/>
      <c r="W32" s="4"/>
    </row>
    <row r="33">
      <c r="A33" s="4" t="str">
        <f>IFERROR(__xludf.DUMMYFUNCTION("""COMPUTED_VALUE"""),"TANDON GARMENTS")</f>
        <v>TANDON GARMENTS</v>
      </c>
      <c r="B33" s="4" t="str">
        <f>IFERROR(__xludf.DUMMYFUNCTION("""COMPUTED_VALUE"""),"ABHISHEK")</f>
        <v>ABHISHEK</v>
      </c>
      <c r="C33" s="4">
        <f>IFERROR(__xludf.DUMMYFUNCTION("""COMPUTED_VALUE"""),9.580501111E9)</f>
        <v>9580501111</v>
      </c>
      <c r="D33" s="5">
        <f>IFERROR(__xludf.DUMMYFUNCTION("""COMPUTED_VALUE"""),113029.0)</f>
        <v>113029</v>
      </c>
      <c r="E33" s="4">
        <f>IFERROR(__xludf.DUMMYFUNCTION("""COMPUTED_VALUE"""),90.0)</f>
        <v>90</v>
      </c>
      <c r="F33" s="4">
        <f>IFERROR(__xludf.DUMMYFUNCTION("""COMPUTED_VALUE"""),500000.0)</f>
        <v>500000</v>
      </c>
      <c r="G33" s="4" t="str">
        <f>IFERROR(__xludf.DUMMYFUNCTION("""COMPUTED_VALUE"""),"NORMAL")</f>
        <v>NORMAL</v>
      </c>
      <c r="H33" s="4">
        <f>IFERROR(__xludf.DUMMYFUNCTION("""COMPUTED_VALUE"""),35.0)</f>
        <v>35</v>
      </c>
      <c r="I33" s="4" t="str">
        <f>IFERROR(__xludf.DUMMYFUNCTION("""COMPUTED_VALUE"""),"SLOW")</f>
        <v>SLOW</v>
      </c>
      <c r="J33" s="5"/>
      <c r="K33" s="4"/>
      <c r="L33" s="5"/>
      <c r="M33" s="5"/>
      <c r="N33" s="4"/>
      <c r="O33" s="4"/>
      <c r="P33" s="4"/>
      <c r="Q33" s="4"/>
      <c r="R33" s="4"/>
      <c r="S33" s="4"/>
      <c r="T33" s="4">
        <f>IFERROR(__xludf.DUMMYFUNCTION("""COMPUTED_VALUE"""),113029.0)</f>
        <v>113029</v>
      </c>
      <c r="U33" s="4"/>
      <c r="V33" s="4"/>
      <c r="W33" s="4"/>
    </row>
    <row r="34">
      <c r="A34" s="4" t="str">
        <f>IFERROR(__xludf.DUMMYFUNCTION("""COMPUTED_VALUE"""),"ARORA MEGASHOP")</f>
        <v>ARORA MEGASHOP</v>
      </c>
      <c r="B34" s="4" t="str">
        <f>IFERROR(__xludf.DUMMYFUNCTION("""COMPUTED_VALUE"""),"ABHISHEK")</f>
        <v>ABHISHEK</v>
      </c>
      <c r="C34" s="4">
        <f>IFERROR(__xludf.DUMMYFUNCTION("""COMPUTED_VALUE"""),8.75661278E9)</f>
        <v>8756612780</v>
      </c>
      <c r="D34" s="5">
        <f>IFERROR(__xludf.DUMMYFUNCTION("""COMPUTED_VALUE"""),239230.0)</f>
        <v>239230</v>
      </c>
      <c r="E34" s="4">
        <f>IFERROR(__xludf.DUMMYFUNCTION("""COMPUTED_VALUE"""),82.0)</f>
        <v>82</v>
      </c>
      <c r="F34" s="4">
        <f>IFERROR(__xludf.DUMMYFUNCTION("""COMPUTED_VALUE"""),500000.0)</f>
        <v>500000</v>
      </c>
      <c r="G34" s="4" t="str">
        <f>IFERROR(__xludf.DUMMYFUNCTION("""COMPUTED_VALUE"""),"NORMAL")</f>
        <v>NORMAL</v>
      </c>
      <c r="H34" s="4">
        <f>IFERROR(__xludf.DUMMYFUNCTION("""COMPUTED_VALUE"""),25.0)</f>
        <v>25</v>
      </c>
      <c r="I34" s="4" t="str">
        <f>IFERROR(__xludf.DUMMYFUNCTION("""COMPUTED_VALUE"""),"FALSE")</f>
        <v>FALSE</v>
      </c>
      <c r="J34" s="5"/>
      <c r="K34" s="4"/>
      <c r="L34" s="5"/>
      <c r="M34" s="5"/>
      <c r="N34" s="4"/>
      <c r="O34" s="4"/>
      <c r="P34" s="4"/>
      <c r="Q34" s="4"/>
      <c r="R34" s="4"/>
      <c r="S34" s="4"/>
      <c r="T34" s="4"/>
      <c r="U34" s="4">
        <f>IFERROR(__xludf.DUMMYFUNCTION("""COMPUTED_VALUE"""),239230.0)</f>
        <v>239230</v>
      </c>
      <c r="V34" s="4"/>
      <c r="W34" s="4"/>
    </row>
    <row r="35">
      <c r="A35" s="4" t="str">
        <f>IFERROR(__xludf.DUMMYFUNCTION("""COMPUTED_VALUE"""),"PRAGYA SAREE CENTER")</f>
        <v>PRAGYA SAREE CENTER</v>
      </c>
      <c r="B35" s="4" t="str">
        <f>IFERROR(__xludf.DUMMYFUNCTION("""COMPUTED_VALUE"""),"ABHISHEK")</f>
        <v>ABHISHEK</v>
      </c>
      <c r="C35" s="4">
        <f>IFERROR(__xludf.DUMMYFUNCTION("""COMPUTED_VALUE"""),8.75661278E9)</f>
        <v>8756612780</v>
      </c>
      <c r="D35" s="5">
        <f>IFERROR(__xludf.DUMMYFUNCTION("""COMPUTED_VALUE"""),64372.0)</f>
        <v>64372</v>
      </c>
      <c r="E35" s="4">
        <f>IFERROR(__xludf.DUMMYFUNCTION("""COMPUTED_VALUE"""),71.0)</f>
        <v>71</v>
      </c>
      <c r="F35" s="4">
        <f>IFERROR(__xludf.DUMMYFUNCTION("""COMPUTED_VALUE"""),500000.0)</f>
        <v>500000</v>
      </c>
      <c r="G35" s="4" t="str">
        <f>IFERROR(__xludf.DUMMYFUNCTION("""COMPUTED_VALUE"""),"NORMAL")</f>
        <v>NORMAL</v>
      </c>
      <c r="H35" s="4">
        <f>IFERROR(__xludf.DUMMYFUNCTION("""COMPUTED_VALUE"""),25.0)</f>
        <v>25</v>
      </c>
      <c r="I35" s="4" t="str">
        <f>IFERROR(__xludf.DUMMYFUNCTION("""COMPUTED_VALUE"""),"FALSE")</f>
        <v>FALSE</v>
      </c>
      <c r="J35" s="5"/>
      <c r="K35" s="4"/>
      <c r="L35" s="5"/>
      <c r="M35" s="5"/>
      <c r="N35" s="4"/>
      <c r="O35" s="4"/>
      <c r="P35" s="4"/>
      <c r="Q35" s="4"/>
      <c r="R35" s="4"/>
      <c r="S35" s="4"/>
      <c r="T35" s="4"/>
      <c r="U35" s="4">
        <f>IFERROR(__xludf.DUMMYFUNCTION("""COMPUTED_VALUE"""),64372.0)</f>
        <v>64372</v>
      </c>
      <c r="V35" s="4"/>
      <c r="W35" s="4"/>
    </row>
    <row r="36">
      <c r="A36" s="4" t="str">
        <f>IFERROR(__xludf.DUMMYFUNCTION("""COMPUTED_VALUE"""),"NEW JAIN VASTRA BHANDAR")</f>
        <v>NEW JAIN VASTRA BHANDAR</v>
      </c>
      <c r="B36" s="4" t="str">
        <f>IFERROR(__xludf.DUMMYFUNCTION("""COMPUTED_VALUE"""),"ABHISHEK")</f>
        <v>ABHISHEK</v>
      </c>
      <c r="C36" s="4">
        <f>IFERROR(__xludf.DUMMYFUNCTION("""COMPUTED_VALUE"""),9.140254446E9)</f>
        <v>9140254446</v>
      </c>
      <c r="D36" s="5">
        <f>IFERROR(__xludf.DUMMYFUNCTION("""COMPUTED_VALUE"""),20656.0)</f>
        <v>20656</v>
      </c>
      <c r="E36" s="4">
        <f>IFERROR(__xludf.DUMMYFUNCTION("""COMPUTED_VALUE"""),70.0)</f>
        <v>70</v>
      </c>
      <c r="F36" s="4">
        <f>IFERROR(__xludf.DUMMYFUNCTION("""COMPUTED_VALUE"""),1000000.0)</f>
        <v>1000000</v>
      </c>
      <c r="G36" s="4" t="str">
        <f>IFERROR(__xludf.DUMMYFUNCTION("""COMPUTED_VALUE"""),"NORMAL")</f>
        <v>NORMAL</v>
      </c>
      <c r="H36" s="4">
        <f>IFERROR(__xludf.DUMMYFUNCTION("""COMPUTED_VALUE"""),35.0)</f>
        <v>35</v>
      </c>
      <c r="I36" s="4" t="str">
        <f>IFERROR(__xludf.DUMMYFUNCTION("""COMPUTED_VALUE"""),"FALSE")</f>
        <v>FALSE</v>
      </c>
      <c r="J36" s="5"/>
      <c r="K36" s="4"/>
      <c r="L36" s="5"/>
      <c r="M36" s="5"/>
      <c r="N36" s="4"/>
      <c r="O36" s="4"/>
      <c r="P36" s="4"/>
      <c r="Q36" s="4"/>
      <c r="R36" s="4"/>
      <c r="S36" s="4"/>
      <c r="T36" s="4"/>
      <c r="U36" s="4">
        <f>IFERROR(__xludf.DUMMYFUNCTION("""COMPUTED_VALUE"""),20656.0)</f>
        <v>20656</v>
      </c>
      <c r="V36" s="4"/>
      <c r="W36" s="4"/>
    </row>
    <row r="37">
      <c r="A37" s="4" t="str">
        <f>IFERROR(__xludf.DUMMYFUNCTION("""COMPUTED_VALUE"""),"RAM DAS GUPTA MATCHING CENTRE PRIVATE LIMITED")</f>
        <v>RAM DAS GUPTA MATCHING CENTRE PRIVATE LIMITED</v>
      </c>
      <c r="B37" s="4" t="str">
        <f>IFERROR(__xludf.DUMMYFUNCTION("""COMPUTED_VALUE"""),"ABHISHEK")</f>
        <v>ABHISHEK</v>
      </c>
      <c r="C37" s="4">
        <f>IFERROR(__xludf.DUMMYFUNCTION("""COMPUTED_VALUE"""),9.026869693E9)</f>
        <v>9026869693</v>
      </c>
      <c r="D37" s="5">
        <f>IFERROR(__xludf.DUMMYFUNCTION("""COMPUTED_VALUE"""),100787.0)</f>
        <v>100787</v>
      </c>
      <c r="E37" s="4">
        <f>IFERROR(__xludf.DUMMYFUNCTION("""COMPUTED_VALUE"""),67.0)</f>
        <v>67</v>
      </c>
      <c r="F37" s="4">
        <f>IFERROR(__xludf.DUMMYFUNCTION("""COMPUTED_VALUE"""),500000.0)</f>
        <v>500000</v>
      </c>
      <c r="G37" s="4" t="str">
        <f>IFERROR(__xludf.DUMMYFUNCTION("""COMPUTED_VALUE"""),"NORMAL")</f>
        <v>NORMAL</v>
      </c>
      <c r="H37" s="4">
        <f>IFERROR(__xludf.DUMMYFUNCTION("""COMPUTED_VALUE"""),25.0)</f>
        <v>25</v>
      </c>
      <c r="I37" s="4" t="str">
        <f>IFERROR(__xludf.DUMMYFUNCTION("""COMPUTED_VALUE"""),"FALSE")</f>
        <v>FALSE</v>
      </c>
      <c r="J37" s="5"/>
      <c r="K37" s="4"/>
      <c r="L37" s="5"/>
      <c r="M37" s="5"/>
      <c r="N37" s="4"/>
      <c r="O37" s="4"/>
      <c r="P37" s="4"/>
      <c r="Q37" s="4"/>
      <c r="R37" s="4"/>
      <c r="S37" s="4"/>
      <c r="T37" s="4"/>
      <c r="U37" s="4">
        <f>IFERROR(__xludf.DUMMYFUNCTION("""COMPUTED_VALUE"""),100787.0)</f>
        <v>100787</v>
      </c>
      <c r="V37" s="4"/>
      <c r="W37" s="4"/>
    </row>
    <row r="38">
      <c r="A38" s="4" t="str">
        <f>IFERROR(__xludf.DUMMYFUNCTION("""COMPUTED_VALUE"""),"SAGAR READYMADES")</f>
        <v>SAGAR READYMADES</v>
      </c>
      <c r="B38" s="4" t="str">
        <f>IFERROR(__xludf.DUMMYFUNCTION("""COMPUTED_VALUE"""),"ABHISHEK")</f>
        <v>ABHISHEK</v>
      </c>
      <c r="C38" s="4">
        <f>IFERROR(__xludf.DUMMYFUNCTION("""COMPUTED_VALUE"""),9.839757113E9)</f>
        <v>9839757113</v>
      </c>
      <c r="D38" s="5">
        <f>IFERROR(__xludf.DUMMYFUNCTION("""COMPUTED_VALUE"""),30669.0)</f>
        <v>30669</v>
      </c>
      <c r="E38" s="4">
        <f>IFERROR(__xludf.DUMMYFUNCTION("""COMPUTED_VALUE"""),63.0)</f>
        <v>63</v>
      </c>
      <c r="F38" s="4">
        <f>IFERROR(__xludf.DUMMYFUNCTION("""COMPUTED_VALUE"""),300000.0)</f>
        <v>300000</v>
      </c>
      <c r="G38" s="4" t="str">
        <f>IFERROR(__xludf.DUMMYFUNCTION("""COMPUTED_VALUE"""),"RISK")</f>
        <v>RISK</v>
      </c>
      <c r="H38" s="4">
        <f>IFERROR(__xludf.DUMMYFUNCTION("""COMPUTED_VALUE"""),50.0)</f>
        <v>50</v>
      </c>
      <c r="I38" s="4" t="str">
        <f>IFERROR(__xludf.DUMMYFUNCTION("""COMPUTED_VALUE"""),"FALSE")</f>
        <v>FALSE</v>
      </c>
      <c r="J38" s="5"/>
      <c r="K38" s="4"/>
      <c r="L38" s="5"/>
      <c r="M38" s="5"/>
      <c r="N38" s="4"/>
      <c r="O38" s="4"/>
      <c r="P38" s="4"/>
      <c r="Q38" s="4"/>
      <c r="R38" s="4"/>
      <c r="S38" s="4"/>
      <c r="T38" s="4"/>
      <c r="U38" s="4">
        <f>IFERROR(__xludf.DUMMYFUNCTION("""COMPUTED_VALUE"""),30669.0)</f>
        <v>30669</v>
      </c>
      <c r="V38" s="4"/>
      <c r="W38" s="4"/>
    </row>
    <row r="39">
      <c r="A39" s="4" t="str">
        <f>IFERROR(__xludf.DUMMYFUNCTION("""COMPUTED_VALUE"""),"SINGH READYMADE GARMENTS")</f>
        <v>SINGH READYMADE GARMENTS</v>
      </c>
      <c r="B39" s="4" t="str">
        <f>IFERROR(__xludf.DUMMYFUNCTION("""COMPUTED_VALUE"""),"ABHISHEK")</f>
        <v>ABHISHEK</v>
      </c>
      <c r="C39" s="4">
        <f>IFERROR(__xludf.DUMMYFUNCTION("""COMPUTED_VALUE"""),9.336050128E9)</f>
        <v>9336050128</v>
      </c>
      <c r="D39" s="5">
        <f>IFERROR(__xludf.DUMMYFUNCTION("""COMPUTED_VALUE"""),68949.0)</f>
        <v>68949</v>
      </c>
      <c r="E39" s="4">
        <f>IFERROR(__xludf.DUMMYFUNCTION("""COMPUTED_VALUE"""),63.0)</f>
        <v>63</v>
      </c>
      <c r="F39" s="4">
        <f>IFERROR(__xludf.DUMMYFUNCTION("""COMPUTED_VALUE"""),50000.0)</f>
        <v>50000</v>
      </c>
      <c r="G39" s="4" t="str">
        <f>IFERROR(__xludf.DUMMYFUNCTION("""COMPUTED_VALUE"""),"RISK")</f>
        <v>RISK</v>
      </c>
      <c r="H39" s="4">
        <f>IFERROR(__xludf.DUMMYFUNCTION("""COMPUTED_VALUE"""),40.0)</f>
        <v>40</v>
      </c>
      <c r="I39" s="4" t="str">
        <f>IFERROR(__xludf.DUMMYFUNCTION("""COMPUTED_VALUE"""),"FALSE")</f>
        <v>FALSE</v>
      </c>
      <c r="J39" s="5"/>
      <c r="K39" s="4"/>
      <c r="L39" s="5"/>
      <c r="M39" s="5"/>
      <c r="N39" s="4"/>
      <c r="O39" s="4"/>
      <c r="P39" s="4"/>
      <c r="Q39" s="4"/>
      <c r="R39" s="4"/>
      <c r="S39" s="4"/>
      <c r="T39" s="4"/>
      <c r="U39" s="4">
        <f>IFERROR(__xludf.DUMMYFUNCTION("""COMPUTED_VALUE"""),68949.0)</f>
        <v>68949</v>
      </c>
      <c r="V39" s="4"/>
      <c r="W39" s="4"/>
    </row>
  </sheetData>
  <drawing r:id="rId1"/>
</worksheet>
</file>
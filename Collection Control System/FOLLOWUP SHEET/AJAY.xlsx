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0" xfId="0" applyFont="1"/>
    <xf borderId="1" fillId="0" fontId="2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3" width="14.0"/>
  </cols>
  <sheetData>
    <row r="1">
      <c r="A1" s="1" t="str">
        <f>IFERROR(__xludf.DUMMYFUNCTION("QUERY(IMPORTRANGE(""1o4kGFTI80_EdoNgEzQs7R1-vO13rpAoNe3h9dk3MlSo"", ""AGEING_ANALYSIS!A1:W""), ""select * where lower(Col2) = 'ajay'"", 1)"),"Dealer Name ")</f>
        <v>Dealer Name </v>
      </c>
      <c r="B1" s="2" t="str">
        <f>IFERROR(__xludf.DUMMYFUNCTION("""COMPUTED_VALUE"""),"Executive/Agent")</f>
        <v>Executive/Agent</v>
      </c>
      <c r="C1" s="2" t="str">
        <f>IFERROR(__xludf.DUMMYFUNCTION("""COMPUTED_VALUE"""),"Contact Number")</f>
        <v>Contact Number</v>
      </c>
      <c r="D1" s="2" t="str">
        <f>IFERROR(__xludf.DUMMYFUNCTION("""COMPUTED_VALUE"""),"Outstanding")</f>
        <v>Outstanding</v>
      </c>
      <c r="E1" s="2" t="str">
        <f>IFERROR(__xludf.DUMMYFUNCTION("""COMPUTED_VALUE"""),"Max Overdue")</f>
        <v>Max Overdue</v>
      </c>
      <c r="F1" s="2" t="str">
        <f>IFERROR(__xludf.DUMMYFUNCTION("""COMPUTED_VALUE"""),"Credit Limit")</f>
        <v>Credit Limit</v>
      </c>
      <c r="G1" s="2" t="str">
        <f>IFERROR(__xludf.DUMMYFUNCTION("""COMPUTED_VALUE"""),"Risk Flag")</f>
        <v>Risk Flag</v>
      </c>
      <c r="H1" s="2" t="str">
        <f>IFERROR(__xludf.DUMMYFUNCTION("""COMPUTED_VALUE"""),"Risk Score")</f>
        <v>Risk Score</v>
      </c>
      <c r="I1" s="2" t="str">
        <f>IFERROR(__xludf.DUMMYFUNCTION("""COMPUTED_VALUE"""),"Behaviour")</f>
        <v>Behaviour</v>
      </c>
      <c r="J1" s="2" t="str">
        <f>IFERROR(__xludf.DUMMYFUNCTION("""COMPUTED_VALUE"""),"February 25")</f>
        <v>February 25</v>
      </c>
      <c r="K1" s="2" t="str">
        <f>IFERROR(__xludf.DUMMYFUNCTION("""COMPUTED_VALUE"""),"March 25")</f>
        <v>March 25</v>
      </c>
      <c r="L1" s="2" t="str">
        <f>IFERROR(__xludf.DUMMYFUNCTION("""COMPUTED_VALUE"""),"April 25")</f>
        <v>April 25</v>
      </c>
      <c r="M1" s="2" t="str">
        <f>IFERROR(__xludf.DUMMYFUNCTION("""COMPUTED_VALUE"""),"May 25")</f>
        <v>May 25</v>
      </c>
      <c r="N1" s="2" t="str">
        <f>IFERROR(__xludf.DUMMYFUNCTION("""COMPUTED_VALUE"""),"June 25")</f>
        <v>June 25</v>
      </c>
      <c r="O1" s="2" t="str">
        <f>IFERROR(__xludf.DUMMYFUNCTION("""COMPUTED_VALUE"""),"July 25")</f>
        <v>July 25</v>
      </c>
      <c r="P1" s="2" t="str">
        <f>IFERROR(__xludf.DUMMYFUNCTION("""COMPUTED_VALUE"""),"August 25")</f>
        <v>August 25</v>
      </c>
      <c r="Q1" s="2" t="str">
        <f>IFERROR(__xludf.DUMMYFUNCTION("""COMPUTED_VALUE"""),"September 25")</f>
        <v>September 25</v>
      </c>
      <c r="R1" s="2" t="str">
        <f>IFERROR(__xludf.DUMMYFUNCTION("""COMPUTED_VALUE"""),"October 25")</f>
        <v>October 25</v>
      </c>
      <c r="S1" s="2" t="str">
        <f>IFERROR(__xludf.DUMMYFUNCTION("""COMPUTED_VALUE"""),"November 25")</f>
        <v>November 25</v>
      </c>
      <c r="T1" s="2" t="str">
        <f>IFERROR(__xludf.DUMMYFUNCTION("""COMPUTED_VALUE"""),"December 25")</f>
        <v>December 25</v>
      </c>
      <c r="U1" s="2" t="str">
        <f>IFERROR(__xludf.DUMMYFUNCTION("""COMPUTED_VALUE"""),"January 26")</f>
        <v>January 26</v>
      </c>
      <c r="V1" s="2" t="str">
        <f>IFERROR(__xludf.DUMMYFUNCTION("""COMPUTED_VALUE"""),"February 26")</f>
        <v>February 26</v>
      </c>
      <c r="W1" s="2" t="str">
        <f>IFERROR(__xludf.DUMMYFUNCTION("""COMPUTED_VALUE"""),"March 26")</f>
        <v>March 26</v>
      </c>
      <c r="X1" s="3"/>
      <c r="Y1" s="3"/>
      <c r="Z1" s="3"/>
    </row>
    <row r="2">
      <c r="A2" s="4" t="str">
        <f>IFERROR(__xludf.DUMMYFUNCTION("""COMPUTED_VALUE"""),"LAXMI GARMENTS GONDA")</f>
        <v>LAXMI GARMENTS GONDA</v>
      </c>
      <c r="B2" s="4" t="str">
        <f>IFERROR(__xludf.DUMMYFUNCTION("""COMPUTED_VALUE"""),"AJAY")</f>
        <v>AJAY</v>
      </c>
      <c r="C2" s="4">
        <f>IFERROR(__xludf.DUMMYFUNCTION("""COMPUTED_VALUE"""),9.415534199E9)</f>
        <v>9415534199</v>
      </c>
      <c r="D2" s="5">
        <f>IFERROR(__xludf.DUMMYFUNCTION("""COMPUTED_VALUE"""),16351.0)</f>
        <v>16351</v>
      </c>
      <c r="E2" s="4">
        <f>IFERROR(__xludf.DUMMYFUNCTION("""COMPUTED_VALUE"""),248.0)</f>
        <v>248</v>
      </c>
      <c r="F2" s="4">
        <f>IFERROR(__xludf.DUMMYFUNCTION("""COMPUTED_VALUE"""),150000.0)</f>
        <v>150000</v>
      </c>
      <c r="G2" s="4" t="str">
        <f>IFERROR(__xludf.DUMMYFUNCTION("""COMPUTED_VALUE"""),"RISK")</f>
        <v>RISK</v>
      </c>
      <c r="H2" s="4">
        <f>IFERROR(__xludf.DUMMYFUNCTION("""COMPUTED_VALUE"""),50.0)</f>
        <v>50</v>
      </c>
      <c r="I2" s="4" t="str">
        <f>IFERROR(__xludf.DUMMYFUNCTION("""COMPUTED_VALUE"""),"DANGEROUS")</f>
        <v>DANGEROUS</v>
      </c>
      <c r="J2" s="5"/>
      <c r="K2" s="5"/>
      <c r="L2" s="5"/>
      <c r="M2" s="5"/>
      <c r="N2" s="5"/>
      <c r="O2" s="4">
        <f>IFERROR(__xludf.DUMMYFUNCTION("""COMPUTED_VALUE"""),15375.0)</f>
        <v>15375</v>
      </c>
      <c r="P2" s="4"/>
      <c r="Q2" s="4"/>
      <c r="R2" s="4">
        <f>IFERROR(__xludf.DUMMYFUNCTION("""COMPUTED_VALUE"""),976.0)</f>
        <v>976</v>
      </c>
      <c r="S2" s="4"/>
      <c r="T2" s="4"/>
      <c r="U2" s="4"/>
      <c r="V2" s="4"/>
      <c r="W2" s="4"/>
    </row>
    <row r="3">
      <c r="A3" s="4" t="str">
        <f>IFERROR(__xludf.DUMMYFUNCTION("""COMPUTED_VALUE"""),"SATYAM VASTRALAYA")</f>
        <v>SATYAM VASTRALAYA</v>
      </c>
      <c r="B3" s="4" t="str">
        <f>IFERROR(__xludf.DUMMYFUNCTION("""COMPUTED_VALUE"""),"AJAY")</f>
        <v>AJAY</v>
      </c>
      <c r="C3" s="4">
        <f>IFERROR(__xludf.DUMMYFUNCTION("""COMPUTED_VALUE"""),9.653071942E9)</f>
        <v>9653071942</v>
      </c>
      <c r="D3" s="5">
        <f>IFERROR(__xludf.DUMMYFUNCTION("""COMPUTED_VALUE"""),423971.0)</f>
        <v>423971</v>
      </c>
      <c r="E3" s="4">
        <f>IFERROR(__xludf.DUMMYFUNCTION("""COMPUTED_VALUE"""),235.0)</f>
        <v>235</v>
      </c>
      <c r="F3" s="4">
        <f>IFERROR(__xludf.DUMMYFUNCTION("""COMPUTED_VALUE"""),800000.0)</f>
        <v>800000</v>
      </c>
      <c r="G3" s="4" t="str">
        <f>IFERROR(__xludf.DUMMYFUNCTION("""COMPUTED_VALUE"""),"RISK")</f>
        <v>RISK</v>
      </c>
      <c r="H3" s="4">
        <f>IFERROR(__xludf.DUMMYFUNCTION("""COMPUTED_VALUE"""),40.0)</f>
        <v>40</v>
      </c>
      <c r="I3" s="4" t="str">
        <f>IFERROR(__xludf.DUMMYFUNCTION("""COMPUTED_VALUE"""),"DANGEROUS")</f>
        <v>DANGEROUS</v>
      </c>
      <c r="J3" s="5"/>
      <c r="K3" s="5"/>
      <c r="L3" s="5"/>
      <c r="M3" s="5"/>
      <c r="N3" s="5"/>
      <c r="O3" s="4"/>
      <c r="P3" s="4">
        <f>IFERROR(__xludf.DUMMYFUNCTION("""COMPUTED_VALUE"""),71816.0)</f>
        <v>71816</v>
      </c>
      <c r="Q3" s="4"/>
      <c r="R3" s="4">
        <f>IFERROR(__xludf.DUMMYFUNCTION("""COMPUTED_VALUE"""),224698.0)</f>
        <v>224698</v>
      </c>
      <c r="S3" s="4">
        <f>IFERROR(__xludf.DUMMYFUNCTION("""COMPUTED_VALUE"""),127457.0)</f>
        <v>127457</v>
      </c>
      <c r="T3" s="4"/>
      <c r="U3" s="4"/>
      <c r="V3" s="4"/>
      <c r="W3" s="4"/>
    </row>
    <row r="4">
      <c r="A4" s="4" t="str">
        <f>IFERROR(__xludf.DUMMYFUNCTION("""COMPUTED_VALUE"""),"CHAUDHARI GARMENTS")</f>
        <v>CHAUDHARI GARMENTS</v>
      </c>
      <c r="B4" s="4" t="str">
        <f>IFERROR(__xludf.DUMMYFUNCTION("""COMPUTED_VALUE"""),"AJAY")</f>
        <v>AJAY</v>
      </c>
      <c r="C4" s="4">
        <f>IFERROR(__xludf.DUMMYFUNCTION("""COMPUTED_VALUE"""),9.695117808E9)</f>
        <v>9695117808</v>
      </c>
      <c r="D4" s="5">
        <f>IFERROR(__xludf.DUMMYFUNCTION("""COMPUTED_VALUE"""),6564.0)</f>
        <v>6564</v>
      </c>
      <c r="E4" s="4">
        <f>IFERROR(__xludf.DUMMYFUNCTION("""COMPUTED_VALUE"""),188.0)</f>
        <v>188</v>
      </c>
      <c r="F4" s="4">
        <f>IFERROR(__xludf.DUMMYFUNCTION("""COMPUTED_VALUE"""),100000.0)</f>
        <v>100000</v>
      </c>
      <c r="G4" s="4" t="str">
        <f>IFERROR(__xludf.DUMMYFUNCTION("""COMPUTED_VALUE"""),"RISK")</f>
        <v>RISK</v>
      </c>
      <c r="H4" s="4">
        <f>IFERROR(__xludf.DUMMYFUNCTION("""COMPUTED_VALUE"""),40.0)</f>
        <v>40</v>
      </c>
      <c r="I4" s="4" t="str">
        <f>IFERROR(__xludf.DUMMYFUNCTION("""COMPUTED_VALUE"""),"DANGEROUS")</f>
        <v>DANGEROUS</v>
      </c>
      <c r="J4" s="5"/>
      <c r="K4" s="5"/>
      <c r="L4" s="5"/>
      <c r="M4" s="5"/>
      <c r="N4" s="5"/>
      <c r="O4" s="4"/>
      <c r="P4" s="4"/>
      <c r="Q4" s="4">
        <f>IFERROR(__xludf.DUMMYFUNCTION("""COMPUTED_VALUE"""),6564.0)</f>
        <v>6564</v>
      </c>
      <c r="R4" s="4"/>
      <c r="S4" s="4"/>
      <c r="T4" s="4"/>
      <c r="U4" s="4"/>
      <c r="V4" s="4"/>
      <c r="W4" s="4"/>
    </row>
    <row r="5">
      <c r="A5" s="4" t="str">
        <f>IFERROR(__xludf.DUMMYFUNCTION("""COMPUTED_VALUE"""),"AMRIT READYMADE STORE")</f>
        <v>AMRIT READYMADE STORE</v>
      </c>
      <c r="B5" s="4" t="str">
        <f>IFERROR(__xludf.DUMMYFUNCTION("""COMPUTED_VALUE"""),"AJAY")</f>
        <v>AJAY</v>
      </c>
      <c r="C5" s="4">
        <f>IFERROR(__xludf.DUMMYFUNCTION("""COMPUTED_VALUE"""),9.415056372E9)</f>
        <v>9415056372</v>
      </c>
      <c r="D5" s="5">
        <f>IFERROR(__xludf.DUMMYFUNCTION("""COMPUTED_VALUE"""),4807.0)</f>
        <v>4807</v>
      </c>
      <c r="E5" s="4">
        <f>IFERROR(__xludf.DUMMYFUNCTION("""COMPUTED_VALUE"""),182.0)</f>
        <v>182</v>
      </c>
      <c r="F5" s="4">
        <f>IFERROR(__xludf.DUMMYFUNCTION("""COMPUTED_VALUE"""),500000.0)</f>
        <v>500000</v>
      </c>
      <c r="G5" s="4" t="str">
        <f>IFERROR(__xludf.DUMMYFUNCTION("""COMPUTED_VALUE"""),"RISK")</f>
        <v>RISK</v>
      </c>
      <c r="H5" s="4">
        <f>IFERROR(__xludf.DUMMYFUNCTION("""COMPUTED_VALUE"""),50.0)</f>
        <v>50</v>
      </c>
      <c r="I5" s="4" t="str">
        <f>IFERROR(__xludf.DUMMYFUNCTION("""COMPUTED_VALUE"""),"DANGEROUS")</f>
        <v>DANGEROUS</v>
      </c>
      <c r="J5" s="5"/>
      <c r="K5" s="5"/>
      <c r="L5" s="5"/>
      <c r="M5" s="5"/>
      <c r="N5" s="5"/>
      <c r="O5" s="4"/>
      <c r="P5" s="4"/>
      <c r="Q5" s="4">
        <f>IFERROR(__xludf.DUMMYFUNCTION("""COMPUTED_VALUE"""),4807.0)</f>
        <v>4807</v>
      </c>
      <c r="R5" s="4"/>
      <c r="S5" s="4"/>
      <c r="T5" s="4"/>
      <c r="U5" s="4"/>
      <c r="V5" s="4"/>
      <c r="W5" s="4"/>
    </row>
    <row r="6">
      <c r="A6" s="4" t="str">
        <f>IFERROR(__xludf.DUMMYFUNCTION("""COMPUTED_VALUE"""),"B.R.GARMENTS")</f>
        <v>B.R.GARMENTS</v>
      </c>
      <c r="B6" s="4" t="str">
        <f>IFERROR(__xludf.DUMMYFUNCTION("""COMPUTED_VALUE"""),"AJAY")</f>
        <v>AJAY</v>
      </c>
      <c r="C6" s="4">
        <f>IFERROR(__xludf.DUMMYFUNCTION("""COMPUTED_VALUE"""),9.41256146E9)</f>
        <v>9412561460</v>
      </c>
      <c r="D6" s="5">
        <f>IFERROR(__xludf.DUMMYFUNCTION("""COMPUTED_VALUE"""),538641.0)</f>
        <v>538641</v>
      </c>
      <c r="E6" s="4">
        <f>IFERROR(__xludf.DUMMYFUNCTION("""COMPUTED_VALUE"""),182.0)</f>
        <v>182</v>
      </c>
      <c r="F6" s="4">
        <f>IFERROR(__xludf.DUMMYFUNCTION("""COMPUTED_VALUE"""),1000000.0)</f>
        <v>1000000</v>
      </c>
      <c r="G6" s="4" t="str">
        <f>IFERROR(__xludf.DUMMYFUNCTION("""COMPUTED_VALUE"""),"RISK")</f>
        <v>RISK</v>
      </c>
      <c r="H6" s="4">
        <f>IFERROR(__xludf.DUMMYFUNCTION("""COMPUTED_VALUE"""),75.0)</f>
        <v>75</v>
      </c>
      <c r="I6" s="4" t="str">
        <f>IFERROR(__xludf.DUMMYFUNCTION("""COMPUTED_VALUE"""),"DANGEROUS")</f>
        <v>DANGEROUS</v>
      </c>
      <c r="J6" s="5"/>
      <c r="K6" s="5"/>
      <c r="L6" s="5"/>
      <c r="M6" s="5"/>
      <c r="N6" s="5"/>
      <c r="O6" s="4"/>
      <c r="P6" s="4"/>
      <c r="Q6" s="4">
        <f>IFERROR(__xludf.DUMMYFUNCTION("""COMPUTED_VALUE"""),63464.0)</f>
        <v>63464</v>
      </c>
      <c r="R6" s="4">
        <f>IFERROR(__xludf.DUMMYFUNCTION("""COMPUTED_VALUE"""),149860.0)</f>
        <v>149860</v>
      </c>
      <c r="S6" s="4"/>
      <c r="T6" s="4">
        <f>IFERROR(__xludf.DUMMYFUNCTION("""COMPUTED_VALUE"""),103084.0)</f>
        <v>103084</v>
      </c>
      <c r="U6" s="4">
        <f>IFERROR(__xludf.DUMMYFUNCTION("""COMPUTED_VALUE"""),222233.0)</f>
        <v>222233</v>
      </c>
      <c r="V6" s="4"/>
      <c r="W6" s="4"/>
    </row>
    <row r="7">
      <c r="A7" s="4" t="str">
        <f>IFERROR(__xludf.DUMMYFUNCTION("""COMPUTED_VALUE"""),"RAGHUNANDAN")</f>
        <v>RAGHUNANDAN</v>
      </c>
      <c r="B7" s="4" t="str">
        <f>IFERROR(__xludf.DUMMYFUNCTION("""COMPUTED_VALUE"""),"AJAY")</f>
        <v>AJAY</v>
      </c>
      <c r="C7" s="4">
        <f>IFERROR(__xludf.DUMMYFUNCTION("""COMPUTED_VALUE"""),7.355359197E9)</f>
        <v>7355359197</v>
      </c>
      <c r="D7" s="5">
        <f>IFERROR(__xludf.DUMMYFUNCTION("""COMPUTED_VALUE"""),370825.0)</f>
        <v>370825</v>
      </c>
      <c r="E7" s="4">
        <f>IFERROR(__xludf.DUMMYFUNCTION("""COMPUTED_VALUE"""),182.0)</f>
        <v>182</v>
      </c>
      <c r="F7" s="4">
        <f>IFERROR(__xludf.DUMMYFUNCTION("""COMPUTED_VALUE"""),300000.0)</f>
        <v>300000</v>
      </c>
      <c r="G7" s="4" t="str">
        <f>IFERROR(__xludf.DUMMYFUNCTION("""COMPUTED_VALUE"""),"RISK")</f>
        <v>RISK</v>
      </c>
      <c r="H7" s="4">
        <f>IFERROR(__xludf.DUMMYFUNCTION("""COMPUTED_VALUE"""),40.0)</f>
        <v>40</v>
      </c>
      <c r="I7" s="4" t="str">
        <f>IFERROR(__xludf.DUMMYFUNCTION("""COMPUTED_VALUE"""),"DANGEROUS")</f>
        <v>DANGEROUS</v>
      </c>
      <c r="J7" s="5"/>
      <c r="K7" s="5"/>
      <c r="L7" s="5"/>
      <c r="M7" s="5"/>
      <c r="N7" s="5"/>
      <c r="O7" s="4"/>
      <c r="P7" s="4"/>
      <c r="Q7" s="4">
        <f>IFERROR(__xludf.DUMMYFUNCTION("""COMPUTED_VALUE"""),86219.0)</f>
        <v>86219</v>
      </c>
      <c r="R7" s="4">
        <f>IFERROR(__xludf.DUMMYFUNCTION("""COMPUTED_VALUE"""),193134.0)</f>
        <v>193134</v>
      </c>
      <c r="S7" s="4"/>
      <c r="T7" s="4">
        <f>IFERROR(__xludf.DUMMYFUNCTION("""COMPUTED_VALUE"""),91472.0)</f>
        <v>91472</v>
      </c>
      <c r="U7" s="4"/>
      <c r="V7" s="4"/>
      <c r="W7" s="4"/>
    </row>
    <row r="8">
      <c r="A8" s="4" t="str">
        <f>IFERROR(__xludf.DUMMYFUNCTION("""COMPUTED_VALUE"""),"VINAY GARMENTS")</f>
        <v>VINAY GARMENTS</v>
      </c>
      <c r="B8" s="4" t="str">
        <f>IFERROR(__xludf.DUMMYFUNCTION("""COMPUTED_VALUE"""),"AJAY")</f>
        <v>AJAY</v>
      </c>
      <c r="C8" s="4">
        <f>IFERROR(__xludf.DUMMYFUNCTION("""COMPUTED_VALUE"""),9.935714835E9)</f>
        <v>9935714835</v>
      </c>
      <c r="D8" s="5">
        <f>IFERROR(__xludf.DUMMYFUNCTION("""COMPUTED_VALUE"""),81716.0)</f>
        <v>81716</v>
      </c>
      <c r="E8" s="4">
        <f>IFERROR(__xludf.DUMMYFUNCTION("""COMPUTED_VALUE"""),175.0)</f>
        <v>175</v>
      </c>
      <c r="F8" s="4">
        <f>IFERROR(__xludf.DUMMYFUNCTION("""COMPUTED_VALUE"""),200000.0)</f>
        <v>200000</v>
      </c>
      <c r="G8" s="4" t="str">
        <f>IFERROR(__xludf.DUMMYFUNCTION("""COMPUTED_VALUE"""),"RISK")</f>
        <v>RISK</v>
      </c>
      <c r="H8" s="4">
        <f>IFERROR(__xludf.DUMMYFUNCTION("""COMPUTED_VALUE"""),50.0)</f>
        <v>50</v>
      </c>
      <c r="I8" s="4" t="str">
        <f>IFERROR(__xludf.DUMMYFUNCTION("""COMPUTED_VALUE"""),"DANGEROUS")</f>
        <v>DANGEROUS</v>
      </c>
      <c r="J8" s="5"/>
      <c r="K8" s="5"/>
      <c r="L8" s="5"/>
      <c r="M8" s="5"/>
      <c r="N8" s="5"/>
      <c r="O8" s="4"/>
      <c r="P8" s="4"/>
      <c r="Q8" s="4"/>
      <c r="R8" s="4">
        <f>IFERROR(__xludf.DUMMYFUNCTION("""COMPUTED_VALUE"""),81716.0)</f>
        <v>81716</v>
      </c>
      <c r="S8" s="4"/>
      <c r="T8" s="4"/>
      <c r="U8" s="4"/>
      <c r="V8" s="4"/>
      <c r="W8" s="4"/>
    </row>
    <row r="9">
      <c r="A9" s="4" t="str">
        <f>IFERROR(__xludf.DUMMYFUNCTION("""COMPUTED_VALUE"""),"MANOHAR RADYMADE STORES")</f>
        <v>MANOHAR RADYMADE STORES</v>
      </c>
      <c r="B9" s="4" t="str">
        <f>IFERROR(__xludf.DUMMYFUNCTION("""COMPUTED_VALUE"""),"AJAY")</f>
        <v>AJAY</v>
      </c>
      <c r="C9" s="4">
        <f>IFERROR(__xludf.DUMMYFUNCTION("""COMPUTED_VALUE"""),7.388818216E9)</f>
        <v>7388818216</v>
      </c>
      <c r="D9" s="5">
        <f>IFERROR(__xludf.DUMMYFUNCTION("""COMPUTED_VALUE"""),463603.0)</f>
        <v>463603</v>
      </c>
      <c r="E9" s="4">
        <f>IFERROR(__xludf.DUMMYFUNCTION("""COMPUTED_VALUE"""),174.0)</f>
        <v>174</v>
      </c>
      <c r="F9" s="4">
        <f>IFERROR(__xludf.DUMMYFUNCTION("""COMPUTED_VALUE"""),500000.0)</f>
        <v>500000</v>
      </c>
      <c r="G9" s="4" t="str">
        <f>IFERROR(__xludf.DUMMYFUNCTION("""COMPUTED_VALUE"""),"RISK")</f>
        <v>RISK</v>
      </c>
      <c r="H9" s="4">
        <f>IFERROR(__xludf.DUMMYFUNCTION("""COMPUTED_VALUE"""),75.0)</f>
        <v>75</v>
      </c>
      <c r="I9" s="4" t="str">
        <f>IFERROR(__xludf.DUMMYFUNCTION("""COMPUTED_VALUE"""),"DANGEROUS")</f>
        <v>DANGEROUS</v>
      </c>
      <c r="J9" s="5"/>
      <c r="K9" s="5"/>
      <c r="L9" s="5"/>
      <c r="M9" s="5"/>
      <c r="N9" s="5"/>
      <c r="O9" s="4"/>
      <c r="P9" s="4"/>
      <c r="Q9" s="4"/>
      <c r="R9" s="4">
        <f>IFERROR(__xludf.DUMMYFUNCTION("""COMPUTED_VALUE"""),75240.0)</f>
        <v>75240</v>
      </c>
      <c r="S9" s="4">
        <f>IFERROR(__xludf.DUMMYFUNCTION("""COMPUTED_VALUE"""),61987.0)</f>
        <v>61987</v>
      </c>
      <c r="T9" s="4">
        <f>IFERROR(__xludf.DUMMYFUNCTION("""COMPUTED_VALUE"""),45041.0)</f>
        <v>45041</v>
      </c>
      <c r="U9" s="4">
        <f>IFERROR(__xludf.DUMMYFUNCTION("""COMPUTED_VALUE"""),281335.0)</f>
        <v>281335</v>
      </c>
      <c r="V9" s="4"/>
      <c r="W9" s="4"/>
    </row>
    <row r="10">
      <c r="A10" s="4" t="str">
        <f>IFERROR(__xludf.DUMMYFUNCTION("""COMPUTED_VALUE"""),"MODERN CHOICE")</f>
        <v>MODERN CHOICE</v>
      </c>
      <c r="B10" s="4" t="str">
        <f>IFERROR(__xludf.DUMMYFUNCTION("""COMPUTED_VALUE"""),"AJAY")</f>
        <v>AJAY</v>
      </c>
      <c r="C10" s="4">
        <f>IFERROR(__xludf.DUMMYFUNCTION("""COMPUTED_VALUE"""),9.450491359E9)</f>
        <v>9450491359</v>
      </c>
      <c r="D10" s="5">
        <f>IFERROR(__xludf.DUMMYFUNCTION("""COMPUTED_VALUE"""),307366.0)</f>
        <v>307366</v>
      </c>
      <c r="E10" s="4">
        <f>IFERROR(__xludf.DUMMYFUNCTION("""COMPUTED_VALUE"""),167.0)</f>
        <v>167</v>
      </c>
      <c r="F10" s="4">
        <f>IFERROR(__xludf.DUMMYFUNCTION("""COMPUTED_VALUE"""),300000.0)</f>
        <v>300000</v>
      </c>
      <c r="G10" s="4" t="str">
        <f>IFERROR(__xludf.DUMMYFUNCTION("""COMPUTED_VALUE"""),"RISK")</f>
        <v>RISK</v>
      </c>
      <c r="H10" s="4">
        <f>IFERROR(__xludf.DUMMYFUNCTION("""COMPUTED_VALUE"""),50.0)</f>
        <v>50</v>
      </c>
      <c r="I10" s="4" t="str">
        <f>IFERROR(__xludf.DUMMYFUNCTION("""COMPUTED_VALUE"""),"DANGEROUS")</f>
        <v>DANGEROUS</v>
      </c>
      <c r="J10" s="5"/>
      <c r="K10" s="5"/>
      <c r="L10" s="5"/>
      <c r="M10" s="5"/>
      <c r="N10" s="5"/>
      <c r="O10" s="4"/>
      <c r="P10" s="4"/>
      <c r="Q10" s="4"/>
      <c r="R10" s="4">
        <f>IFERROR(__xludf.DUMMYFUNCTION("""COMPUTED_VALUE"""),45159.0)</f>
        <v>45159</v>
      </c>
      <c r="S10" s="4">
        <f>IFERROR(__xludf.DUMMYFUNCTION("""COMPUTED_VALUE"""),48457.0)</f>
        <v>48457</v>
      </c>
      <c r="T10" s="4"/>
      <c r="U10" s="4">
        <f>IFERROR(__xludf.DUMMYFUNCTION("""COMPUTED_VALUE"""),213750.0)</f>
        <v>213750</v>
      </c>
      <c r="V10" s="4"/>
      <c r="W10" s="4"/>
    </row>
    <row r="11">
      <c r="A11" s="4" t="str">
        <f>IFERROR(__xludf.DUMMYFUNCTION("""COMPUTED_VALUE"""),"SHAAN COLLECTION")</f>
        <v>SHAAN COLLECTION</v>
      </c>
      <c r="B11" s="4" t="str">
        <f>IFERROR(__xludf.DUMMYFUNCTION("""COMPUTED_VALUE"""),"AJAY")</f>
        <v>AJAY</v>
      </c>
      <c r="C11" s="4">
        <f>IFERROR(__xludf.DUMMYFUNCTION("""COMPUTED_VALUE"""),9.565594E9)</f>
        <v>9565594000</v>
      </c>
      <c r="D11" s="5">
        <f>IFERROR(__xludf.DUMMYFUNCTION("""COMPUTED_VALUE"""),395479.0)</f>
        <v>395479</v>
      </c>
      <c r="E11" s="4">
        <f>IFERROR(__xludf.DUMMYFUNCTION("""COMPUTED_VALUE"""),166.0)</f>
        <v>166</v>
      </c>
      <c r="F11" s="4">
        <f>IFERROR(__xludf.DUMMYFUNCTION("""COMPUTED_VALUE"""),500000.0)</f>
        <v>500000</v>
      </c>
      <c r="G11" s="4" t="str">
        <f>IFERROR(__xludf.DUMMYFUNCTION("""COMPUTED_VALUE"""),"RISK")</f>
        <v>RISK</v>
      </c>
      <c r="H11" s="4">
        <f>IFERROR(__xludf.DUMMYFUNCTION("""COMPUTED_VALUE"""),40.0)</f>
        <v>40</v>
      </c>
      <c r="I11" s="4" t="str">
        <f>IFERROR(__xludf.DUMMYFUNCTION("""COMPUTED_VALUE"""),"DANGEROUS")</f>
        <v>DANGEROUS</v>
      </c>
      <c r="J11" s="5"/>
      <c r="K11" s="5"/>
      <c r="L11" s="5"/>
      <c r="M11" s="5"/>
      <c r="N11" s="5"/>
      <c r="O11" s="4"/>
      <c r="P11" s="4"/>
      <c r="Q11" s="4"/>
      <c r="R11" s="4">
        <f>IFERROR(__xludf.DUMMYFUNCTION("""COMPUTED_VALUE"""),59684.0)</f>
        <v>59684</v>
      </c>
      <c r="S11" s="4">
        <f>IFERROR(__xludf.DUMMYFUNCTION("""COMPUTED_VALUE"""),109130.0)</f>
        <v>109130</v>
      </c>
      <c r="T11" s="4">
        <f>IFERROR(__xludf.DUMMYFUNCTION("""COMPUTED_VALUE"""),186103.0)</f>
        <v>186103</v>
      </c>
      <c r="U11" s="4">
        <f>IFERROR(__xludf.DUMMYFUNCTION("""COMPUTED_VALUE"""),40562.0)</f>
        <v>40562</v>
      </c>
      <c r="V11" s="4"/>
      <c r="W11" s="4"/>
    </row>
    <row r="12">
      <c r="A12" s="4" t="str">
        <f>IFERROR(__xludf.DUMMYFUNCTION("""COMPUTED_VALUE"""),"SHRI BALA JI GARMENT - DIBIYAPUR")</f>
        <v>SHRI BALA JI GARMENT - DIBIYAPUR</v>
      </c>
      <c r="B12" s="4" t="str">
        <f>IFERROR(__xludf.DUMMYFUNCTION("""COMPUTED_VALUE"""),"AJAY")</f>
        <v>AJAY</v>
      </c>
      <c r="C12" s="4">
        <f>IFERROR(__xludf.DUMMYFUNCTION("""COMPUTED_VALUE"""),9.759135133E9)</f>
        <v>9759135133</v>
      </c>
      <c r="D12" s="5">
        <f>IFERROR(__xludf.DUMMYFUNCTION("""COMPUTED_VALUE"""),14958.0)</f>
        <v>14958</v>
      </c>
      <c r="E12" s="4">
        <f>IFERROR(__xludf.DUMMYFUNCTION("""COMPUTED_VALUE"""),165.0)</f>
        <v>165</v>
      </c>
      <c r="F12" s="4">
        <f>IFERROR(__xludf.DUMMYFUNCTION("""COMPUTED_VALUE"""),200000.0)</f>
        <v>200000</v>
      </c>
      <c r="G12" s="4" t="str">
        <f>IFERROR(__xludf.DUMMYFUNCTION("""COMPUTED_VALUE"""),"RISK")</f>
        <v>RISK</v>
      </c>
      <c r="H12" s="4">
        <f>IFERROR(__xludf.DUMMYFUNCTION("""COMPUTED_VALUE"""),40.0)</f>
        <v>40</v>
      </c>
      <c r="I12" s="4" t="str">
        <f>IFERROR(__xludf.DUMMYFUNCTION("""COMPUTED_VALUE"""),"DANGEROUS")</f>
        <v>DANGEROUS</v>
      </c>
      <c r="J12" s="5"/>
      <c r="K12" s="5"/>
      <c r="L12" s="5"/>
      <c r="M12" s="5"/>
      <c r="N12" s="5"/>
      <c r="O12" s="4"/>
      <c r="P12" s="4"/>
      <c r="Q12" s="4"/>
      <c r="R12" s="4">
        <f>IFERROR(__xludf.DUMMYFUNCTION("""COMPUTED_VALUE"""),14958.0)</f>
        <v>14958</v>
      </c>
      <c r="S12" s="4"/>
      <c r="T12" s="4"/>
      <c r="U12" s="4"/>
      <c r="V12" s="4"/>
      <c r="W12" s="4"/>
    </row>
    <row r="13">
      <c r="A13" s="4" t="str">
        <f>IFERROR(__xludf.DUMMYFUNCTION("""COMPUTED_VALUE"""),"MENS WEAR")</f>
        <v>MENS WEAR</v>
      </c>
      <c r="B13" s="4" t="str">
        <f>IFERROR(__xludf.DUMMYFUNCTION("""COMPUTED_VALUE"""),"AJAY")</f>
        <v>AJAY</v>
      </c>
      <c r="C13" s="4">
        <f>IFERROR(__xludf.DUMMYFUNCTION("""COMPUTED_VALUE"""),6.388737924E9)</f>
        <v>6388737924</v>
      </c>
      <c r="D13" s="5">
        <f>IFERROR(__xludf.DUMMYFUNCTION("""COMPUTED_VALUE"""),94332.0)</f>
        <v>94332</v>
      </c>
      <c r="E13" s="4">
        <f>IFERROR(__xludf.DUMMYFUNCTION("""COMPUTED_VALUE"""),157.0)</f>
        <v>157</v>
      </c>
      <c r="F13" s="4">
        <f>IFERROR(__xludf.DUMMYFUNCTION("""COMPUTED_VALUE"""),300000.0)</f>
        <v>300000</v>
      </c>
      <c r="G13" s="4" t="str">
        <f>IFERROR(__xludf.DUMMYFUNCTION("""COMPUTED_VALUE"""),"RISK")</f>
        <v>RISK</v>
      </c>
      <c r="H13" s="4">
        <f>IFERROR(__xludf.DUMMYFUNCTION("""COMPUTED_VALUE"""),50.0)</f>
        <v>50</v>
      </c>
      <c r="I13" s="4" t="str">
        <f>IFERROR(__xludf.DUMMYFUNCTION("""COMPUTED_VALUE"""),"DANGEROUS")</f>
        <v>DANGEROUS</v>
      </c>
      <c r="J13" s="5"/>
      <c r="K13" s="5"/>
      <c r="L13" s="5"/>
      <c r="M13" s="5"/>
      <c r="N13" s="5"/>
      <c r="O13" s="4"/>
      <c r="P13" s="4"/>
      <c r="Q13" s="4"/>
      <c r="R13" s="4">
        <f>IFERROR(__xludf.DUMMYFUNCTION("""COMPUTED_VALUE"""),42282.0)</f>
        <v>42282</v>
      </c>
      <c r="S13" s="4">
        <f>IFERROR(__xludf.DUMMYFUNCTION("""COMPUTED_VALUE"""),52050.0)</f>
        <v>52050</v>
      </c>
      <c r="T13" s="4"/>
      <c r="U13" s="4"/>
      <c r="V13" s="4"/>
      <c r="W13" s="4"/>
    </row>
    <row r="14">
      <c r="A14" s="4" t="str">
        <f>IFERROR(__xludf.DUMMYFUNCTION("""COMPUTED_VALUE"""),"VICKY MENS WEAR NEW")</f>
        <v>VICKY MENS WEAR NEW</v>
      </c>
      <c r="B14" s="4" t="str">
        <f>IFERROR(__xludf.DUMMYFUNCTION("""COMPUTED_VALUE"""),"AJAY")</f>
        <v>AJAY</v>
      </c>
      <c r="C14" s="4">
        <f>IFERROR(__xludf.DUMMYFUNCTION("""COMPUTED_VALUE"""),9.452635551E9)</f>
        <v>9452635551</v>
      </c>
      <c r="D14" s="5">
        <f>IFERROR(__xludf.DUMMYFUNCTION("""COMPUTED_VALUE"""),247789.0)</f>
        <v>247789</v>
      </c>
      <c r="E14" s="4">
        <f>IFERROR(__xludf.DUMMYFUNCTION("""COMPUTED_VALUE"""),157.0)</f>
        <v>157</v>
      </c>
      <c r="F14" s="4">
        <f>IFERROR(__xludf.DUMMYFUNCTION("""COMPUTED_VALUE"""),300000.0)</f>
        <v>300000</v>
      </c>
      <c r="G14" s="4" t="str">
        <f>IFERROR(__xludf.DUMMYFUNCTION("""COMPUTED_VALUE"""),"RISK")</f>
        <v>RISK</v>
      </c>
      <c r="H14" s="4">
        <f>IFERROR(__xludf.DUMMYFUNCTION("""COMPUTED_VALUE"""),50.0)</f>
        <v>50</v>
      </c>
      <c r="I14" s="4" t="str">
        <f>IFERROR(__xludf.DUMMYFUNCTION("""COMPUTED_VALUE"""),"DANGEROUS")</f>
        <v>DANGEROUS</v>
      </c>
      <c r="J14" s="5"/>
      <c r="K14" s="5"/>
      <c r="L14" s="5"/>
      <c r="M14" s="5"/>
      <c r="N14" s="5"/>
      <c r="O14" s="4"/>
      <c r="P14" s="4"/>
      <c r="Q14" s="4"/>
      <c r="R14" s="4">
        <f>IFERROR(__xludf.DUMMYFUNCTION("""COMPUTED_VALUE"""),12759.0)</f>
        <v>12759</v>
      </c>
      <c r="S14" s="4"/>
      <c r="T14" s="4">
        <f>IFERROR(__xludf.DUMMYFUNCTION("""COMPUTED_VALUE"""),235030.0)</f>
        <v>235030</v>
      </c>
      <c r="U14" s="4"/>
      <c r="V14" s="4"/>
      <c r="W14" s="4"/>
    </row>
    <row r="15">
      <c r="A15" s="4" t="str">
        <f>IFERROR(__xludf.DUMMYFUNCTION("""COMPUTED_VALUE"""),"ABHINANDAN")</f>
        <v>ABHINANDAN</v>
      </c>
      <c r="B15" s="4" t="str">
        <f>IFERROR(__xludf.DUMMYFUNCTION("""COMPUTED_VALUE"""),"AJAY")</f>
        <v>AJAY</v>
      </c>
      <c r="C15" s="4">
        <f>IFERROR(__xludf.DUMMYFUNCTION("""COMPUTED_VALUE"""),7.800027474E9)</f>
        <v>7800027474</v>
      </c>
      <c r="D15" s="5">
        <f>IFERROR(__xludf.DUMMYFUNCTION("""COMPUTED_VALUE"""),240511.0)</f>
        <v>240511</v>
      </c>
      <c r="E15" s="4">
        <f>IFERROR(__xludf.DUMMYFUNCTION("""COMPUTED_VALUE"""),146.0)</f>
        <v>146</v>
      </c>
      <c r="F15" s="4">
        <f>IFERROR(__xludf.DUMMYFUNCTION("""COMPUTED_VALUE"""),1500000.0)</f>
        <v>1500000</v>
      </c>
      <c r="G15" s="4" t="str">
        <f>IFERROR(__xludf.DUMMYFUNCTION("""COMPUTED_VALUE"""),"RISK")</f>
        <v>RISK</v>
      </c>
      <c r="H15" s="4">
        <f>IFERROR(__xludf.DUMMYFUNCTION("""COMPUTED_VALUE"""),40.0)</f>
        <v>40</v>
      </c>
      <c r="I15" s="4" t="str">
        <f>IFERROR(__xludf.DUMMYFUNCTION("""COMPUTED_VALUE"""),"DANGEROUS")</f>
        <v>DANGEROUS</v>
      </c>
      <c r="J15" s="5"/>
      <c r="K15" s="5"/>
      <c r="L15" s="5"/>
      <c r="M15" s="5"/>
      <c r="N15" s="5"/>
      <c r="O15" s="4"/>
      <c r="P15" s="4"/>
      <c r="Q15" s="4"/>
      <c r="R15" s="4"/>
      <c r="S15" s="4">
        <f>IFERROR(__xludf.DUMMYFUNCTION("""COMPUTED_VALUE"""),81477.0)</f>
        <v>81477</v>
      </c>
      <c r="T15" s="4">
        <f>IFERROR(__xludf.DUMMYFUNCTION("""COMPUTED_VALUE"""),68947.0)</f>
        <v>68947</v>
      </c>
      <c r="U15" s="4">
        <f>IFERROR(__xludf.DUMMYFUNCTION("""COMPUTED_VALUE"""),90087.0)</f>
        <v>90087</v>
      </c>
      <c r="V15" s="4"/>
      <c r="W15" s="4"/>
    </row>
    <row r="16">
      <c r="A16" s="4" t="str">
        <f>IFERROR(__xludf.DUMMYFUNCTION("""COMPUTED_VALUE"""),"ANAND COLLECTION")</f>
        <v>ANAND COLLECTION</v>
      </c>
      <c r="B16" s="4" t="str">
        <f>IFERROR(__xludf.DUMMYFUNCTION("""COMPUTED_VALUE"""),"AJAY")</f>
        <v>AJAY</v>
      </c>
      <c r="C16" s="4">
        <f>IFERROR(__xludf.DUMMYFUNCTION("""COMPUTED_VALUE"""),9.076961887E9)</f>
        <v>9076961887</v>
      </c>
      <c r="D16" s="5">
        <f>IFERROR(__xludf.DUMMYFUNCTION("""COMPUTED_VALUE"""),2303.0)</f>
        <v>2303</v>
      </c>
      <c r="E16" s="4">
        <f>IFERROR(__xludf.DUMMYFUNCTION("""COMPUTED_VALUE"""),134.0)</f>
        <v>134</v>
      </c>
      <c r="F16" s="4">
        <f>IFERROR(__xludf.DUMMYFUNCTION("""COMPUTED_VALUE"""),150000.0)</f>
        <v>150000</v>
      </c>
      <c r="G16" s="4" t="str">
        <f>IFERROR(__xludf.DUMMYFUNCTION("""COMPUTED_VALUE"""),"RISK")</f>
        <v>RISK</v>
      </c>
      <c r="H16" s="4">
        <f>IFERROR(__xludf.DUMMYFUNCTION("""COMPUTED_VALUE"""),50.0)</f>
        <v>50</v>
      </c>
      <c r="I16" s="4" t="str">
        <f>IFERROR(__xludf.DUMMYFUNCTION("""COMPUTED_VALUE"""),"DANGEROUS")</f>
        <v>DANGEROUS</v>
      </c>
      <c r="J16" s="5"/>
      <c r="K16" s="5"/>
      <c r="L16" s="5"/>
      <c r="M16" s="5"/>
      <c r="N16" s="5"/>
      <c r="O16" s="4"/>
      <c r="P16" s="4"/>
      <c r="Q16" s="4"/>
      <c r="R16" s="4"/>
      <c r="S16" s="4">
        <f>IFERROR(__xludf.DUMMYFUNCTION("""COMPUTED_VALUE"""),2303.0)</f>
        <v>2303</v>
      </c>
      <c r="T16" s="4"/>
      <c r="U16" s="4"/>
      <c r="V16" s="4"/>
      <c r="W16" s="4"/>
    </row>
    <row r="17">
      <c r="A17" s="4" t="str">
        <f>IFERROR(__xludf.DUMMYFUNCTION("""COMPUTED_VALUE"""),"KHANUJA GARMENTS")</f>
        <v>KHANUJA GARMENTS</v>
      </c>
      <c r="B17" s="4" t="str">
        <f>IFERROR(__xludf.DUMMYFUNCTION("""COMPUTED_VALUE"""),"AJAY")</f>
        <v>AJAY</v>
      </c>
      <c r="C17" s="4">
        <f>IFERROR(__xludf.DUMMYFUNCTION("""COMPUTED_VALUE"""),9.140676183E9)</f>
        <v>9140676183</v>
      </c>
      <c r="D17" s="5">
        <f>IFERROR(__xludf.DUMMYFUNCTION("""COMPUTED_VALUE"""),427027.0)</f>
        <v>427027</v>
      </c>
      <c r="E17" s="4">
        <f>IFERROR(__xludf.DUMMYFUNCTION("""COMPUTED_VALUE"""),134.0)</f>
        <v>134</v>
      </c>
      <c r="F17" s="4">
        <f>IFERROR(__xludf.DUMMYFUNCTION("""COMPUTED_VALUE"""),1500000.0)</f>
        <v>1500000</v>
      </c>
      <c r="G17" s="4" t="str">
        <f>IFERROR(__xludf.DUMMYFUNCTION("""COMPUTED_VALUE"""),"RISK")</f>
        <v>RISK</v>
      </c>
      <c r="H17" s="4">
        <f>IFERROR(__xludf.DUMMYFUNCTION("""COMPUTED_VALUE"""),50.0)</f>
        <v>50</v>
      </c>
      <c r="I17" s="4" t="str">
        <f>IFERROR(__xludf.DUMMYFUNCTION("""COMPUTED_VALUE"""),"DANGEROUS")</f>
        <v>DANGEROUS</v>
      </c>
      <c r="J17" s="5"/>
      <c r="K17" s="5"/>
      <c r="L17" s="5"/>
      <c r="M17" s="5"/>
      <c r="N17" s="5"/>
      <c r="O17" s="4"/>
      <c r="P17" s="4"/>
      <c r="Q17" s="4"/>
      <c r="R17" s="4"/>
      <c r="S17" s="4">
        <f>IFERROR(__xludf.DUMMYFUNCTION("""COMPUTED_VALUE"""),144164.0)</f>
        <v>144164</v>
      </c>
      <c r="T17" s="4">
        <f>IFERROR(__xludf.DUMMYFUNCTION("""COMPUTED_VALUE"""),113492.0)</f>
        <v>113492</v>
      </c>
      <c r="U17" s="4">
        <f>IFERROR(__xludf.DUMMYFUNCTION("""COMPUTED_VALUE"""),169371.0)</f>
        <v>169371</v>
      </c>
      <c r="V17" s="4"/>
      <c r="W17" s="4"/>
    </row>
    <row r="18">
      <c r="A18" s="4" t="str">
        <f>IFERROR(__xludf.DUMMYFUNCTION("""COMPUTED_VALUE"""),"DEEPAK FAISHAN")</f>
        <v>DEEPAK FAISHAN</v>
      </c>
      <c r="B18" s="4" t="str">
        <f>IFERROR(__xludf.DUMMYFUNCTION("""COMPUTED_VALUE"""),"AJAY")</f>
        <v>AJAY</v>
      </c>
      <c r="C18" s="4">
        <f>IFERROR(__xludf.DUMMYFUNCTION("""COMPUTED_VALUE"""),9.4535173E9)</f>
        <v>9453517300</v>
      </c>
      <c r="D18" s="5">
        <f>IFERROR(__xludf.DUMMYFUNCTION("""COMPUTED_VALUE"""),270024.0)</f>
        <v>270024</v>
      </c>
      <c r="E18" s="4">
        <f>IFERROR(__xludf.DUMMYFUNCTION("""COMPUTED_VALUE"""),130.0)</f>
        <v>130</v>
      </c>
      <c r="F18" s="4">
        <f>IFERROR(__xludf.DUMMYFUNCTION("""COMPUTED_VALUE"""),300000.0)</f>
        <v>300000</v>
      </c>
      <c r="G18" s="4" t="str">
        <f>IFERROR(__xludf.DUMMYFUNCTION("""COMPUTED_VALUE"""),"RISK")</f>
        <v>RISK</v>
      </c>
      <c r="H18" s="4">
        <f>IFERROR(__xludf.DUMMYFUNCTION("""COMPUTED_VALUE"""),50.0)</f>
        <v>50</v>
      </c>
      <c r="I18" s="4" t="str">
        <f>IFERROR(__xludf.DUMMYFUNCTION("""COMPUTED_VALUE"""),"DANGEROUS")</f>
        <v>DANGEROUS</v>
      </c>
      <c r="J18" s="5"/>
      <c r="K18" s="5"/>
      <c r="L18" s="5"/>
      <c r="M18" s="5"/>
      <c r="N18" s="5"/>
      <c r="O18" s="4"/>
      <c r="P18" s="4"/>
      <c r="Q18" s="4"/>
      <c r="R18" s="4"/>
      <c r="S18" s="4">
        <f>IFERROR(__xludf.DUMMYFUNCTION("""COMPUTED_VALUE"""),1576.0)</f>
        <v>1576</v>
      </c>
      <c r="T18" s="4">
        <f>IFERROR(__xludf.DUMMYFUNCTION("""COMPUTED_VALUE"""),268448.0)</f>
        <v>268448</v>
      </c>
      <c r="U18" s="4"/>
      <c r="V18" s="4"/>
      <c r="W18" s="4"/>
    </row>
    <row r="19">
      <c r="A19" s="4" t="str">
        <f>IFERROR(__xludf.DUMMYFUNCTION("""COMPUTED_VALUE"""),"FASHION ZONE - GURSAHAIGANJ")</f>
        <v>FASHION ZONE - GURSAHAIGANJ</v>
      </c>
      <c r="B19" s="4" t="str">
        <f>IFERROR(__xludf.DUMMYFUNCTION("""COMPUTED_VALUE"""),"AJAY")</f>
        <v>AJAY</v>
      </c>
      <c r="C19" s="4">
        <f>IFERROR(__xludf.DUMMYFUNCTION("""COMPUTED_VALUE"""),9.628968868E9)</f>
        <v>9628968868</v>
      </c>
      <c r="D19" s="5">
        <f>IFERROR(__xludf.DUMMYFUNCTION("""COMPUTED_VALUE"""),162112.0)</f>
        <v>162112</v>
      </c>
      <c r="E19" s="4">
        <f>IFERROR(__xludf.DUMMYFUNCTION("""COMPUTED_VALUE"""),130.0)</f>
        <v>130</v>
      </c>
      <c r="F19" s="4">
        <f>IFERROR(__xludf.DUMMYFUNCTION("""COMPUTED_VALUE"""),300000.0)</f>
        <v>300000</v>
      </c>
      <c r="G19" s="4" t="str">
        <f>IFERROR(__xludf.DUMMYFUNCTION("""COMPUTED_VALUE"""),"RISK")</f>
        <v>RISK</v>
      </c>
      <c r="H19" s="4">
        <f>IFERROR(__xludf.DUMMYFUNCTION("""COMPUTED_VALUE"""),40.0)</f>
        <v>40</v>
      </c>
      <c r="I19" s="4" t="str">
        <f>IFERROR(__xludf.DUMMYFUNCTION("""COMPUTED_VALUE"""),"DANGEROUS")</f>
        <v>DANGEROUS</v>
      </c>
      <c r="J19" s="5"/>
      <c r="K19" s="5"/>
      <c r="L19" s="5"/>
      <c r="M19" s="5"/>
      <c r="N19" s="5"/>
      <c r="O19" s="4"/>
      <c r="P19" s="4"/>
      <c r="Q19" s="4"/>
      <c r="R19" s="4"/>
      <c r="S19" s="4">
        <f>IFERROR(__xludf.DUMMYFUNCTION("""COMPUTED_VALUE"""),60789.0)</f>
        <v>60789</v>
      </c>
      <c r="T19" s="4">
        <f>IFERROR(__xludf.DUMMYFUNCTION("""COMPUTED_VALUE"""),101323.0)</f>
        <v>101323</v>
      </c>
      <c r="U19" s="4"/>
      <c r="V19" s="4"/>
      <c r="W19" s="4"/>
    </row>
    <row r="20">
      <c r="A20" s="4" t="str">
        <f>IFERROR(__xludf.DUMMYFUNCTION("""COMPUTED_VALUE"""),"PANDEY DRESSESS")</f>
        <v>PANDEY DRESSESS</v>
      </c>
      <c r="B20" s="4" t="str">
        <f>IFERROR(__xludf.DUMMYFUNCTION("""COMPUTED_VALUE"""),"AJAY")</f>
        <v>AJAY</v>
      </c>
      <c r="C20" s="4">
        <f>IFERROR(__xludf.DUMMYFUNCTION("""COMPUTED_VALUE"""),9.125001002E9)</f>
        <v>9125001002</v>
      </c>
      <c r="D20" s="5">
        <f>IFERROR(__xludf.DUMMYFUNCTION("""COMPUTED_VALUE"""),1521.0)</f>
        <v>1521</v>
      </c>
      <c r="E20" s="4">
        <f>IFERROR(__xludf.DUMMYFUNCTION("""COMPUTED_VALUE"""),130.0)</f>
        <v>130</v>
      </c>
      <c r="F20" s="4">
        <f>IFERROR(__xludf.DUMMYFUNCTION("""COMPUTED_VALUE"""),200000.0)</f>
        <v>200000</v>
      </c>
      <c r="G20" s="4" t="str">
        <f>IFERROR(__xludf.DUMMYFUNCTION("""COMPUTED_VALUE"""),"RISK")</f>
        <v>RISK</v>
      </c>
      <c r="H20" s="4">
        <f>IFERROR(__xludf.DUMMYFUNCTION("""COMPUTED_VALUE"""),50.0)</f>
        <v>50</v>
      </c>
      <c r="I20" s="4" t="str">
        <f>IFERROR(__xludf.DUMMYFUNCTION("""COMPUTED_VALUE"""),"DANGEROUS")</f>
        <v>DANGEROUS</v>
      </c>
      <c r="J20" s="5"/>
      <c r="K20" s="5"/>
      <c r="L20" s="5"/>
      <c r="M20" s="5"/>
      <c r="N20" s="5"/>
      <c r="O20" s="4"/>
      <c r="P20" s="4"/>
      <c r="Q20" s="4"/>
      <c r="R20" s="4"/>
      <c r="S20" s="4">
        <f>IFERROR(__xludf.DUMMYFUNCTION("""COMPUTED_VALUE"""),1521.0)</f>
        <v>1521</v>
      </c>
      <c r="T20" s="4"/>
      <c r="U20" s="4"/>
      <c r="V20" s="4"/>
      <c r="W20" s="4"/>
    </row>
    <row r="21">
      <c r="A21" s="4" t="str">
        <f>IFERROR(__xludf.DUMMYFUNCTION("""COMPUTED_VALUE"""),"SHAAN GARMENTS MENS WEAR")</f>
        <v>SHAAN GARMENTS MENS WEAR</v>
      </c>
      <c r="B21" s="4" t="str">
        <f>IFERROR(__xludf.DUMMYFUNCTION("""COMPUTED_VALUE"""),"AJAY")</f>
        <v>AJAY</v>
      </c>
      <c r="C21" s="4">
        <f>IFERROR(__xludf.DUMMYFUNCTION("""COMPUTED_VALUE"""),9.565594E9)</f>
        <v>9565594000</v>
      </c>
      <c r="D21" s="5">
        <f>IFERROR(__xludf.DUMMYFUNCTION("""COMPUTED_VALUE"""),191330.0)</f>
        <v>191330</v>
      </c>
      <c r="E21" s="4">
        <f>IFERROR(__xludf.DUMMYFUNCTION("""COMPUTED_VALUE"""),130.0)</f>
        <v>130</v>
      </c>
      <c r="F21" s="4">
        <f>IFERROR(__xludf.DUMMYFUNCTION("""COMPUTED_VALUE"""),500000.0)</f>
        <v>500000</v>
      </c>
      <c r="G21" s="4" t="str">
        <f>IFERROR(__xludf.DUMMYFUNCTION("""COMPUTED_VALUE"""),"RISK")</f>
        <v>RISK</v>
      </c>
      <c r="H21" s="4">
        <f>IFERROR(__xludf.DUMMYFUNCTION("""COMPUTED_VALUE"""),50.0)</f>
        <v>50</v>
      </c>
      <c r="I21" s="4" t="str">
        <f>IFERROR(__xludf.DUMMYFUNCTION("""COMPUTED_VALUE"""),"DANGEROUS")</f>
        <v>DANGEROUS</v>
      </c>
      <c r="J21" s="5"/>
      <c r="K21" s="5"/>
      <c r="L21" s="5"/>
      <c r="M21" s="5"/>
      <c r="N21" s="5"/>
      <c r="O21" s="4"/>
      <c r="P21" s="4"/>
      <c r="Q21" s="4"/>
      <c r="R21" s="4"/>
      <c r="S21" s="4">
        <f>IFERROR(__xludf.DUMMYFUNCTION("""COMPUTED_VALUE"""),10250.0)</f>
        <v>10250</v>
      </c>
      <c r="T21" s="4">
        <f>IFERROR(__xludf.DUMMYFUNCTION("""COMPUTED_VALUE"""),154441.0)</f>
        <v>154441</v>
      </c>
      <c r="U21" s="4">
        <f>IFERROR(__xludf.DUMMYFUNCTION("""COMPUTED_VALUE"""),26639.0)</f>
        <v>26639</v>
      </c>
      <c r="V21" s="4"/>
      <c r="W21" s="4"/>
    </row>
    <row r="22">
      <c r="A22" s="4" t="str">
        <f>IFERROR(__xludf.DUMMYFUNCTION("""COMPUTED_VALUE"""),"TANDON HOSIERY")</f>
        <v>TANDON HOSIERY</v>
      </c>
      <c r="B22" s="4" t="str">
        <f>IFERROR(__xludf.DUMMYFUNCTION("""COMPUTED_VALUE"""),"AJAY")</f>
        <v>AJAY</v>
      </c>
      <c r="C22" s="4">
        <f>IFERROR(__xludf.DUMMYFUNCTION("""COMPUTED_VALUE"""),9.838396666E9)</f>
        <v>9838396666</v>
      </c>
      <c r="D22" s="5">
        <f>IFERROR(__xludf.DUMMYFUNCTION("""COMPUTED_VALUE"""),103917.0)</f>
        <v>103917</v>
      </c>
      <c r="E22" s="4">
        <f>IFERROR(__xludf.DUMMYFUNCTION("""COMPUTED_VALUE"""),127.0)</f>
        <v>127</v>
      </c>
      <c r="F22" s="4">
        <f>IFERROR(__xludf.DUMMYFUNCTION("""COMPUTED_VALUE"""),200000.0)</f>
        <v>200000</v>
      </c>
      <c r="G22" s="4" t="str">
        <f>IFERROR(__xludf.DUMMYFUNCTION("""COMPUTED_VALUE"""),"RISK")</f>
        <v>RISK</v>
      </c>
      <c r="H22" s="4">
        <f>IFERROR(__xludf.DUMMYFUNCTION("""COMPUTED_VALUE"""),40.0)</f>
        <v>40</v>
      </c>
      <c r="I22" s="4" t="str">
        <f>IFERROR(__xludf.DUMMYFUNCTION("""COMPUTED_VALUE"""),"DANGEROUS")</f>
        <v>DANGEROUS</v>
      </c>
      <c r="J22" s="5"/>
      <c r="K22" s="5"/>
      <c r="L22" s="5"/>
      <c r="M22" s="5"/>
      <c r="N22" s="5"/>
      <c r="O22" s="4"/>
      <c r="P22" s="4"/>
      <c r="Q22" s="4"/>
      <c r="R22" s="4"/>
      <c r="S22" s="4">
        <f>IFERROR(__xludf.DUMMYFUNCTION("""COMPUTED_VALUE"""),103917.0)</f>
        <v>103917</v>
      </c>
      <c r="T22" s="4"/>
      <c r="U22" s="4"/>
      <c r="V22" s="4"/>
      <c r="W22" s="4"/>
    </row>
    <row r="23">
      <c r="A23" s="4" t="str">
        <f>IFERROR(__xludf.DUMMYFUNCTION("""COMPUTED_VALUE"""),"MUPASS SHOPEE")</f>
        <v>MUPASS SHOPEE</v>
      </c>
      <c r="B23" s="4" t="str">
        <f>IFERROR(__xludf.DUMMYFUNCTION("""COMPUTED_VALUE"""),"AJAY")</f>
        <v>AJAY</v>
      </c>
      <c r="C23" s="4">
        <f>IFERROR(__xludf.DUMMYFUNCTION("""COMPUTED_VALUE"""),9.415045897E9)</f>
        <v>9415045897</v>
      </c>
      <c r="D23" s="5">
        <f>IFERROR(__xludf.DUMMYFUNCTION("""COMPUTED_VALUE"""),32199.0)</f>
        <v>32199</v>
      </c>
      <c r="E23" s="4">
        <f>IFERROR(__xludf.DUMMYFUNCTION("""COMPUTED_VALUE"""),126.0)</f>
        <v>126</v>
      </c>
      <c r="F23" s="4">
        <f>IFERROR(__xludf.DUMMYFUNCTION("""COMPUTED_VALUE"""),200000.0)</f>
        <v>200000</v>
      </c>
      <c r="G23" s="4" t="str">
        <f>IFERROR(__xludf.DUMMYFUNCTION("""COMPUTED_VALUE"""),"RISK")</f>
        <v>RISK</v>
      </c>
      <c r="H23" s="4">
        <f>IFERROR(__xludf.DUMMYFUNCTION("""COMPUTED_VALUE"""),50.0)</f>
        <v>50</v>
      </c>
      <c r="I23" s="4" t="str">
        <f>IFERROR(__xludf.DUMMYFUNCTION("""COMPUTED_VALUE"""),"DANGEROUS")</f>
        <v>DANGEROUS</v>
      </c>
      <c r="J23" s="5"/>
      <c r="K23" s="5"/>
      <c r="L23" s="5"/>
      <c r="M23" s="5"/>
      <c r="N23" s="5"/>
      <c r="O23" s="4"/>
      <c r="P23" s="4"/>
      <c r="Q23" s="4"/>
      <c r="R23" s="4"/>
      <c r="S23" s="4">
        <f>IFERROR(__xludf.DUMMYFUNCTION("""COMPUTED_VALUE"""),32199.0)</f>
        <v>32199</v>
      </c>
      <c r="T23" s="4"/>
      <c r="U23" s="4"/>
      <c r="V23" s="4"/>
      <c r="W23" s="4"/>
    </row>
    <row r="24">
      <c r="A24" s="4" t="str">
        <f>IFERROR(__xludf.DUMMYFUNCTION("""COMPUTED_VALUE"""),"DATA FASHION")</f>
        <v>DATA FASHION</v>
      </c>
      <c r="B24" s="4" t="str">
        <f>IFERROR(__xludf.DUMMYFUNCTION("""COMPUTED_VALUE"""),"AJAY")</f>
        <v>AJAY</v>
      </c>
      <c r="C24" s="4">
        <f>IFERROR(__xludf.DUMMYFUNCTION("""COMPUTED_VALUE"""),9.997202037E9)</f>
        <v>9997202037</v>
      </c>
      <c r="D24" s="5">
        <f>IFERROR(__xludf.DUMMYFUNCTION("""COMPUTED_VALUE"""),242236.0)</f>
        <v>242236</v>
      </c>
      <c r="E24" s="4">
        <f>IFERROR(__xludf.DUMMYFUNCTION("""COMPUTED_VALUE"""),95.0)</f>
        <v>95</v>
      </c>
      <c r="F24" s="4">
        <f>IFERROR(__xludf.DUMMYFUNCTION("""COMPUTED_VALUE"""),400000.0)</f>
        <v>400000</v>
      </c>
      <c r="G24" s="4" t="str">
        <f>IFERROR(__xludf.DUMMYFUNCTION("""COMPUTED_VALUE"""),"NORMAL")</f>
        <v>NORMAL</v>
      </c>
      <c r="H24" s="4">
        <f>IFERROR(__xludf.DUMMYFUNCTION("""COMPUTED_VALUE"""),35.0)</f>
        <v>35</v>
      </c>
      <c r="I24" s="4" t="str">
        <f>IFERROR(__xludf.DUMMYFUNCTION("""COMPUTED_VALUE"""),"SLOW")</f>
        <v>SLOW</v>
      </c>
      <c r="J24" s="5"/>
      <c r="K24" s="5"/>
      <c r="L24" s="5"/>
      <c r="M24" s="5"/>
      <c r="N24" s="5"/>
      <c r="O24" s="4"/>
      <c r="P24" s="4"/>
      <c r="Q24" s="4"/>
      <c r="R24" s="4"/>
      <c r="S24" s="4"/>
      <c r="T24" s="4">
        <f>IFERROR(__xludf.DUMMYFUNCTION("""COMPUTED_VALUE"""),107486.0)</f>
        <v>107486</v>
      </c>
      <c r="U24" s="4">
        <f>IFERROR(__xludf.DUMMYFUNCTION("""COMPUTED_VALUE"""),134750.0)</f>
        <v>134750</v>
      </c>
      <c r="V24" s="4"/>
      <c r="W24" s="4"/>
    </row>
    <row r="25">
      <c r="A25" s="4" t="str">
        <f>IFERROR(__xludf.DUMMYFUNCTION("""COMPUTED_VALUE"""),"PRIYADARSHAN MEGA MART")</f>
        <v>PRIYADARSHAN MEGA MART</v>
      </c>
      <c r="B25" s="4" t="str">
        <f>IFERROR(__xludf.DUMMYFUNCTION("""COMPUTED_VALUE"""),"AJAY")</f>
        <v>AJAY</v>
      </c>
      <c r="C25" s="4">
        <f>IFERROR(__xludf.DUMMYFUNCTION("""COMPUTED_VALUE"""),9.208341212E9)</f>
        <v>9208341212</v>
      </c>
      <c r="D25" s="5">
        <f>IFERROR(__xludf.DUMMYFUNCTION("""COMPUTED_VALUE"""),162102.0)</f>
        <v>162102</v>
      </c>
      <c r="E25" s="4">
        <f>IFERROR(__xludf.DUMMYFUNCTION("""COMPUTED_VALUE"""),82.0)</f>
        <v>82</v>
      </c>
      <c r="F25" s="4">
        <f>IFERROR(__xludf.DUMMYFUNCTION("""COMPUTED_VALUE"""),500000.0)</f>
        <v>500000</v>
      </c>
      <c r="G25" s="4" t="str">
        <f>IFERROR(__xludf.DUMMYFUNCTION("""COMPUTED_VALUE"""),"NORMAL")</f>
        <v>NORMAL</v>
      </c>
      <c r="H25" s="4">
        <f>IFERROR(__xludf.DUMMYFUNCTION("""COMPUTED_VALUE"""),25.0)</f>
        <v>25</v>
      </c>
      <c r="I25" s="4" t="str">
        <f>IFERROR(__xludf.DUMMYFUNCTION("""COMPUTED_VALUE"""),"FALSE")</f>
        <v>FALSE</v>
      </c>
      <c r="J25" s="5"/>
      <c r="K25" s="5"/>
      <c r="L25" s="5"/>
      <c r="M25" s="5"/>
      <c r="N25" s="5"/>
      <c r="O25" s="4"/>
      <c r="P25" s="4"/>
      <c r="Q25" s="4"/>
      <c r="R25" s="4"/>
      <c r="S25" s="4"/>
      <c r="T25" s="4"/>
      <c r="U25" s="4">
        <f>IFERROR(__xludf.DUMMYFUNCTION("""COMPUTED_VALUE"""),162102.0)</f>
        <v>162102</v>
      </c>
      <c r="V25" s="4"/>
      <c r="W25" s="4"/>
    </row>
    <row r="26">
      <c r="A26" s="4" t="str">
        <f>IFERROR(__xludf.DUMMYFUNCTION("""COMPUTED_VALUE"""),"R.G.STORE")</f>
        <v>R.G.STORE</v>
      </c>
      <c r="B26" s="4" t="str">
        <f>IFERROR(__xludf.DUMMYFUNCTION("""COMPUTED_VALUE"""),"AJAY")</f>
        <v>AJAY</v>
      </c>
      <c r="C26" s="4">
        <f>IFERROR(__xludf.DUMMYFUNCTION("""COMPUTED_VALUE"""),8.317002173E9)</f>
        <v>8317002173</v>
      </c>
      <c r="D26" s="5">
        <f>IFERROR(__xludf.DUMMYFUNCTION("""COMPUTED_VALUE"""),3063.0)</f>
        <v>3063</v>
      </c>
      <c r="E26" s="4">
        <f>IFERROR(__xludf.DUMMYFUNCTION("""COMPUTED_VALUE"""),69.0)</f>
        <v>69</v>
      </c>
      <c r="F26" s="4">
        <f>IFERROR(__xludf.DUMMYFUNCTION("""COMPUTED_VALUE"""),150000.0)</f>
        <v>150000</v>
      </c>
      <c r="G26" s="4" t="str">
        <f>IFERROR(__xludf.DUMMYFUNCTION("""COMPUTED_VALUE"""),"NORMAL")</f>
        <v>NORMAL</v>
      </c>
      <c r="H26" s="4">
        <f>IFERROR(__xludf.DUMMYFUNCTION("""COMPUTED_VALUE"""),25.0)</f>
        <v>25</v>
      </c>
      <c r="I26" s="4" t="str">
        <f>IFERROR(__xludf.DUMMYFUNCTION("""COMPUTED_VALUE"""),"FALSE")</f>
        <v>FALSE</v>
      </c>
      <c r="J26" s="5"/>
      <c r="K26" s="5"/>
      <c r="L26" s="5"/>
      <c r="M26" s="5"/>
      <c r="N26" s="5"/>
      <c r="O26" s="4"/>
      <c r="P26" s="4"/>
      <c r="Q26" s="4"/>
      <c r="R26" s="4"/>
      <c r="S26" s="4"/>
      <c r="T26" s="4"/>
      <c r="U26" s="4">
        <f>IFERROR(__xludf.DUMMYFUNCTION("""COMPUTED_VALUE"""),3063.0)</f>
        <v>3063</v>
      </c>
      <c r="V26" s="4"/>
      <c r="W26" s="4"/>
    </row>
    <row r="27">
      <c r="A27" s="4" t="str">
        <f>IFERROR(__xludf.DUMMYFUNCTION("""COMPUTED_VALUE"""),"MANOJ DRESSES")</f>
        <v>MANOJ DRESSES</v>
      </c>
      <c r="B27" s="4" t="str">
        <f>IFERROR(__xludf.DUMMYFUNCTION("""COMPUTED_VALUE"""),"AJAY")</f>
        <v>AJAY</v>
      </c>
      <c r="C27" s="4">
        <f>IFERROR(__xludf.DUMMYFUNCTION("""COMPUTED_VALUE"""),9.793023488E9)</f>
        <v>9793023488</v>
      </c>
      <c r="D27" s="5">
        <f>IFERROR(__xludf.DUMMYFUNCTION("""COMPUTED_VALUE"""),75068.0)</f>
        <v>75068</v>
      </c>
      <c r="E27" s="4">
        <f>IFERROR(__xludf.DUMMYFUNCTION("""COMPUTED_VALUE"""),62.0)</f>
        <v>62</v>
      </c>
      <c r="F27" s="4">
        <f>IFERROR(__xludf.DUMMYFUNCTION("""COMPUTED_VALUE"""),1500000.0)</f>
        <v>1500000</v>
      </c>
      <c r="G27" s="4" t="str">
        <f>IFERROR(__xludf.DUMMYFUNCTION("""COMPUTED_VALUE"""),"RISK")</f>
        <v>RISK</v>
      </c>
      <c r="H27" s="4">
        <f>IFERROR(__xludf.DUMMYFUNCTION("""COMPUTED_VALUE"""),40.0)</f>
        <v>40</v>
      </c>
      <c r="I27" s="4" t="str">
        <f>IFERROR(__xludf.DUMMYFUNCTION("""COMPUTED_VALUE"""),"FALSE")</f>
        <v>FALSE</v>
      </c>
      <c r="J27" s="5"/>
      <c r="K27" s="5"/>
      <c r="L27" s="5"/>
      <c r="M27" s="5"/>
      <c r="N27" s="5"/>
      <c r="O27" s="4"/>
      <c r="P27" s="4"/>
      <c r="Q27" s="4"/>
      <c r="R27" s="4"/>
      <c r="S27" s="4"/>
      <c r="T27" s="4"/>
      <c r="U27" s="4">
        <f>IFERROR(__xludf.DUMMYFUNCTION("""COMPUTED_VALUE"""),75068.0)</f>
        <v>75068</v>
      </c>
      <c r="V27" s="4"/>
      <c r="W27" s="4"/>
    </row>
    <row r="28">
      <c r="A28" s="4" t="str">
        <f>IFERROR(__xludf.DUMMYFUNCTION("""COMPUTED_VALUE"""),"SHREE BALAJI GARMENTS LKO")</f>
        <v>SHREE BALAJI GARMENTS LKO</v>
      </c>
      <c r="B28" s="4" t="str">
        <f>IFERROR(__xludf.DUMMYFUNCTION("""COMPUTED_VALUE"""),"AJAY")</f>
        <v>AJAY</v>
      </c>
      <c r="C28" s="4">
        <f>IFERROR(__xludf.DUMMYFUNCTION("""COMPUTED_VALUE"""),8.400370277E9)</f>
        <v>8400370277</v>
      </c>
      <c r="D28" s="5">
        <f>IFERROR(__xludf.DUMMYFUNCTION("""COMPUTED_VALUE"""),50075.0)</f>
        <v>50075</v>
      </c>
      <c r="E28" s="4">
        <f>IFERROR(__xludf.DUMMYFUNCTION("""COMPUTED_VALUE"""),309.0)</f>
        <v>309</v>
      </c>
      <c r="F28" s="4">
        <f>IFERROR(__xludf.DUMMYFUNCTION("""COMPUTED_VALUE"""),75000.0)</f>
        <v>75000</v>
      </c>
      <c r="G28" s="4" t="str">
        <f>IFERROR(__xludf.DUMMYFUNCTION("""COMPUTED_VALUE"""),"RISK")</f>
        <v>RISK</v>
      </c>
      <c r="H28" s="4">
        <f>IFERROR(__xludf.DUMMYFUNCTION("""COMPUTED_VALUE"""),50.0)</f>
        <v>50</v>
      </c>
      <c r="I28" s="4" t="str">
        <f>IFERROR(__xludf.DUMMYFUNCTION("""COMPUTED_VALUE"""),"DANGEROUS")</f>
        <v>DANGEROUS</v>
      </c>
      <c r="J28" s="5"/>
      <c r="K28" s="5"/>
      <c r="L28" s="5"/>
      <c r="M28" s="5">
        <f>IFERROR(__xludf.DUMMYFUNCTION("""COMPUTED_VALUE"""),3903.0)</f>
        <v>3903</v>
      </c>
      <c r="N28" s="5"/>
      <c r="O28" s="4"/>
      <c r="P28" s="4"/>
      <c r="Q28" s="4">
        <f>IFERROR(__xludf.DUMMYFUNCTION("""COMPUTED_VALUE"""),46172.0)</f>
        <v>46172</v>
      </c>
      <c r="R28" s="4"/>
      <c r="S28" s="4"/>
      <c r="T28" s="4"/>
      <c r="U28" s="4"/>
      <c r="V28" s="4"/>
      <c r="W28" s="4"/>
    </row>
    <row r="29">
      <c r="A29" s="4" t="str">
        <f>IFERROR(__xludf.DUMMYFUNCTION("""COMPUTED_VALUE"""),"S K GARMENTS SONA CHANDI")</f>
        <v>S K GARMENTS SONA CHANDI</v>
      </c>
      <c r="B29" s="4" t="str">
        <f>IFERROR(__xludf.DUMMYFUNCTION("""COMPUTED_VALUE"""),"AJAY")</f>
        <v>AJAY</v>
      </c>
      <c r="C29" s="4">
        <f>IFERROR(__xludf.DUMMYFUNCTION("""COMPUTED_VALUE"""),9.919791737E9)</f>
        <v>9919791737</v>
      </c>
      <c r="D29" s="5">
        <f>IFERROR(__xludf.DUMMYFUNCTION("""COMPUTED_VALUE"""),166383.0)</f>
        <v>166383</v>
      </c>
      <c r="E29" s="4">
        <f>IFERROR(__xludf.DUMMYFUNCTION("""COMPUTED_VALUE"""),243.0)</f>
        <v>243</v>
      </c>
      <c r="F29" s="4">
        <f>IFERROR(__xludf.DUMMYFUNCTION("""COMPUTED_VALUE"""),500000.0)</f>
        <v>500000</v>
      </c>
      <c r="G29" s="4" t="str">
        <f>IFERROR(__xludf.DUMMYFUNCTION("""COMPUTED_VALUE"""),"RISK")</f>
        <v>RISK</v>
      </c>
      <c r="H29" s="4">
        <f>IFERROR(__xludf.DUMMYFUNCTION("""COMPUTED_VALUE"""),75.0)</f>
        <v>75</v>
      </c>
      <c r="I29" s="4" t="str">
        <f>IFERROR(__xludf.DUMMYFUNCTION("""COMPUTED_VALUE"""),"DANGEROUS")</f>
        <v>DANGEROUS</v>
      </c>
      <c r="J29" s="5"/>
      <c r="K29" s="5"/>
      <c r="L29" s="5"/>
      <c r="M29" s="5"/>
      <c r="N29" s="5"/>
      <c r="O29" s="4">
        <f>IFERROR(__xludf.DUMMYFUNCTION("""COMPUTED_VALUE"""),7455.0)</f>
        <v>7455</v>
      </c>
      <c r="P29" s="4"/>
      <c r="Q29" s="4"/>
      <c r="R29" s="4"/>
      <c r="S29" s="4"/>
      <c r="T29" s="4">
        <f>IFERROR(__xludf.DUMMYFUNCTION("""COMPUTED_VALUE"""),106680.0)</f>
        <v>106680</v>
      </c>
      <c r="U29" s="4">
        <f>IFERROR(__xludf.DUMMYFUNCTION("""COMPUTED_VALUE"""),52248.0)</f>
        <v>52248</v>
      </c>
      <c r="V29" s="4"/>
      <c r="W29" s="4"/>
    </row>
    <row r="30">
      <c r="A30" s="4" t="str">
        <f>IFERROR(__xludf.DUMMYFUNCTION("""COMPUTED_VALUE"""),"ARPIT COLLECTION")</f>
        <v>ARPIT COLLECTION</v>
      </c>
      <c r="B30" s="4" t="str">
        <f>IFERROR(__xludf.DUMMYFUNCTION("""COMPUTED_VALUE"""),"AJAY")</f>
        <v>AJAY</v>
      </c>
      <c r="C30" s="4">
        <f>IFERROR(__xludf.DUMMYFUNCTION("""COMPUTED_VALUE"""),9.919999948E9)</f>
        <v>9919999948</v>
      </c>
      <c r="D30" s="5">
        <f>IFERROR(__xludf.DUMMYFUNCTION("""COMPUTED_VALUE"""),419701.0)</f>
        <v>419701</v>
      </c>
      <c r="E30" s="4">
        <f>IFERROR(__xludf.DUMMYFUNCTION("""COMPUTED_VALUE"""),214.0)</f>
        <v>214</v>
      </c>
      <c r="F30" s="4">
        <f>IFERROR(__xludf.DUMMYFUNCTION("""COMPUTED_VALUE"""),300000.0)</f>
        <v>300000</v>
      </c>
      <c r="G30" s="4" t="str">
        <f>IFERROR(__xludf.DUMMYFUNCTION("""COMPUTED_VALUE"""),"RISK")</f>
        <v>RISK</v>
      </c>
      <c r="H30" s="4">
        <f>IFERROR(__xludf.DUMMYFUNCTION("""COMPUTED_VALUE"""),65.0)</f>
        <v>65</v>
      </c>
      <c r="I30" s="4" t="str">
        <f>IFERROR(__xludf.DUMMYFUNCTION("""COMPUTED_VALUE"""),"DANGEROUS")</f>
        <v>DANGEROUS</v>
      </c>
      <c r="J30" s="5"/>
      <c r="K30" s="5"/>
      <c r="L30" s="5"/>
      <c r="M30" s="5"/>
      <c r="N30" s="5"/>
      <c r="O30" s="4"/>
      <c r="P30" s="4">
        <f>IFERROR(__xludf.DUMMYFUNCTION("""COMPUTED_VALUE"""),49252.0)</f>
        <v>49252</v>
      </c>
      <c r="Q30" s="4">
        <f>IFERROR(__xludf.DUMMYFUNCTION("""COMPUTED_VALUE"""),171207.0)</f>
        <v>171207</v>
      </c>
      <c r="R30" s="4">
        <f>IFERROR(__xludf.DUMMYFUNCTION("""COMPUTED_VALUE"""),40478.0)</f>
        <v>40478</v>
      </c>
      <c r="S30" s="4">
        <f>IFERROR(__xludf.DUMMYFUNCTION("""COMPUTED_VALUE"""),26991.0)</f>
        <v>26991</v>
      </c>
      <c r="T30" s="4">
        <f>IFERROR(__xludf.DUMMYFUNCTION("""COMPUTED_VALUE"""),131773.0)</f>
        <v>131773</v>
      </c>
      <c r="U30" s="4"/>
      <c r="V30" s="4"/>
      <c r="W30" s="4"/>
    </row>
    <row r="31">
      <c r="A31" s="4" t="str">
        <f>IFERROR(__xludf.DUMMYFUNCTION("""COMPUTED_VALUE"""),"DHAWAN READYMADE GARMENTS")</f>
        <v>DHAWAN READYMADE GARMENTS</v>
      </c>
      <c r="B31" s="4" t="str">
        <f>IFERROR(__xludf.DUMMYFUNCTION("""COMPUTED_VALUE"""),"AJAY")</f>
        <v>AJAY</v>
      </c>
      <c r="C31" s="4">
        <f>IFERROR(__xludf.DUMMYFUNCTION("""COMPUTED_VALUE"""),8.299031867E9)</f>
        <v>8299031867</v>
      </c>
      <c r="D31" s="5">
        <f>IFERROR(__xludf.DUMMYFUNCTION("""COMPUTED_VALUE"""),52074.0)</f>
        <v>52074</v>
      </c>
      <c r="E31" s="4">
        <f>IFERROR(__xludf.DUMMYFUNCTION("""COMPUTED_VALUE"""),209.0)</f>
        <v>209</v>
      </c>
      <c r="F31" s="4">
        <f>IFERROR(__xludf.DUMMYFUNCTION("""COMPUTED_VALUE"""),25000.0)</f>
        <v>25000</v>
      </c>
      <c r="G31" s="4" t="str">
        <f>IFERROR(__xludf.DUMMYFUNCTION("""COMPUTED_VALUE"""),"RISK")</f>
        <v>RISK</v>
      </c>
      <c r="H31" s="4">
        <f>IFERROR(__xludf.DUMMYFUNCTION("""COMPUTED_VALUE"""),40.0)</f>
        <v>40</v>
      </c>
      <c r="I31" s="4" t="str">
        <f>IFERROR(__xludf.DUMMYFUNCTION("""COMPUTED_VALUE"""),"DANGEROUS")</f>
        <v>DANGEROUS</v>
      </c>
      <c r="J31" s="5"/>
      <c r="K31" s="5"/>
      <c r="L31" s="5"/>
      <c r="M31" s="5"/>
      <c r="N31" s="5"/>
      <c r="O31" s="4"/>
      <c r="P31" s="4"/>
      <c r="Q31" s="4">
        <f>IFERROR(__xludf.DUMMYFUNCTION("""COMPUTED_VALUE"""),52074.0)</f>
        <v>52074</v>
      </c>
      <c r="R31" s="4"/>
      <c r="S31" s="4"/>
      <c r="T31" s="4"/>
      <c r="U31" s="4"/>
      <c r="V31" s="4"/>
      <c r="W31" s="4"/>
    </row>
    <row r="32">
      <c r="A32" s="4" t="str">
        <f>IFERROR(__xludf.DUMMYFUNCTION("""COMPUTED_VALUE"""),"LAXMI GARMENTS MENS")</f>
        <v>LAXMI GARMENTS MENS</v>
      </c>
      <c r="B32" s="4" t="str">
        <f>IFERROR(__xludf.DUMMYFUNCTION("""COMPUTED_VALUE"""),"AJAY")</f>
        <v>AJAY</v>
      </c>
      <c r="C32" s="4">
        <f>IFERROR(__xludf.DUMMYFUNCTION("""COMPUTED_VALUE"""),9.956677888E9)</f>
        <v>9956677888</v>
      </c>
      <c r="D32" s="5">
        <f>IFERROR(__xludf.DUMMYFUNCTION("""COMPUTED_VALUE"""),14525.0)</f>
        <v>14525</v>
      </c>
      <c r="E32" s="4">
        <f>IFERROR(__xludf.DUMMYFUNCTION("""COMPUTED_VALUE"""),192.0)</f>
        <v>192</v>
      </c>
      <c r="F32" s="4">
        <f>IFERROR(__xludf.DUMMYFUNCTION("""COMPUTED_VALUE"""),150000.0)</f>
        <v>150000</v>
      </c>
      <c r="G32" s="4" t="str">
        <f>IFERROR(__xludf.DUMMYFUNCTION("""COMPUTED_VALUE"""),"RISK")</f>
        <v>RISK</v>
      </c>
      <c r="H32" s="4">
        <f>IFERROR(__xludf.DUMMYFUNCTION("""COMPUTED_VALUE"""),40.0)</f>
        <v>40</v>
      </c>
      <c r="I32" s="4" t="str">
        <f>IFERROR(__xludf.DUMMYFUNCTION("""COMPUTED_VALUE"""),"DANGEROUS")</f>
        <v>DANGEROUS</v>
      </c>
      <c r="J32" s="5"/>
      <c r="K32" s="5"/>
      <c r="L32" s="5"/>
      <c r="M32" s="5"/>
      <c r="N32" s="5"/>
      <c r="O32" s="4"/>
      <c r="P32" s="4"/>
      <c r="Q32" s="4">
        <f>IFERROR(__xludf.DUMMYFUNCTION("""COMPUTED_VALUE"""),14525.0)</f>
        <v>14525</v>
      </c>
      <c r="R32" s="4"/>
      <c r="S32" s="4"/>
      <c r="T32" s="4"/>
      <c r="U32" s="4"/>
      <c r="V32" s="4"/>
      <c r="W32" s="4"/>
    </row>
    <row r="33">
      <c r="A33" s="4" t="str">
        <f>IFERROR(__xludf.DUMMYFUNCTION("""COMPUTED_VALUE"""),"NAMASKAR MENS WEAR")</f>
        <v>NAMASKAR MENS WEAR</v>
      </c>
      <c r="B33" s="4" t="str">
        <f>IFERROR(__xludf.DUMMYFUNCTION("""COMPUTED_VALUE"""),"AJAY")</f>
        <v>AJAY</v>
      </c>
      <c r="C33" s="4">
        <f>IFERROR(__xludf.DUMMYFUNCTION("""COMPUTED_VALUE"""),9.696745967E9)</f>
        <v>9696745967</v>
      </c>
      <c r="D33" s="5">
        <f>IFERROR(__xludf.DUMMYFUNCTION("""COMPUTED_VALUE"""),98485.0)</f>
        <v>98485</v>
      </c>
      <c r="E33" s="4">
        <f>IFERROR(__xludf.DUMMYFUNCTION("""COMPUTED_VALUE"""),182.0)</f>
        <v>182</v>
      </c>
      <c r="F33" s="4">
        <f>IFERROR(__xludf.DUMMYFUNCTION("""COMPUTED_VALUE"""),500000.0)</f>
        <v>500000</v>
      </c>
      <c r="G33" s="4" t="str">
        <f>IFERROR(__xludf.DUMMYFUNCTION("""COMPUTED_VALUE"""),"RISK")</f>
        <v>RISK</v>
      </c>
      <c r="H33" s="4">
        <f>IFERROR(__xludf.DUMMYFUNCTION("""COMPUTED_VALUE"""),50.0)</f>
        <v>50</v>
      </c>
      <c r="I33" s="4" t="str">
        <f>IFERROR(__xludf.DUMMYFUNCTION("""COMPUTED_VALUE"""),"DANGEROUS")</f>
        <v>DANGEROUS</v>
      </c>
      <c r="J33" s="5"/>
      <c r="K33" s="5"/>
      <c r="L33" s="5"/>
      <c r="M33" s="5"/>
      <c r="N33" s="5"/>
      <c r="O33" s="4"/>
      <c r="P33" s="4"/>
      <c r="Q33" s="4">
        <f>IFERROR(__xludf.DUMMYFUNCTION("""COMPUTED_VALUE"""),39370.0)</f>
        <v>39370</v>
      </c>
      <c r="R33" s="4">
        <f>IFERROR(__xludf.DUMMYFUNCTION("""COMPUTED_VALUE"""),40328.0)</f>
        <v>40328</v>
      </c>
      <c r="S33" s="4">
        <f>IFERROR(__xludf.DUMMYFUNCTION("""COMPUTED_VALUE"""),18787.0)</f>
        <v>18787</v>
      </c>
      <c r="T33" s="4"/>
      <c r="U33" s="4"/>
      <c r="V33" s="4"/>
      <c r="W33" s="4"/>
    </row>
    <row r="34">
      <c r="A34" s="4" t="str">
        <f>IFERROR(__xludf.DUMMYFUNCTION("""COMPUTED_VALUE"""),"SATYAM SAREE CENTER")</f>
        <v>SATYAM SAREE CENTER</v>
      </c>
      <c r="B34" s="4" t="str">
        <f>IFERROR(__xludf.DUMMYFUNCTION("""COMPUTED_VALUE"""),"AJAY")</f>
        <v>AJAY</v>
      </c>
      <c r="C34" s="4">
        <f>IFERROR(__xludf.DUMMYFUNCTION("""COMPUTED_VALUE"""),8.853286332E9)</f>
        <v>8853286332</v>
      </c>
      <c r="D34" s="5">
        <f>IFERROR(__xludf.DUMMYFUNCTION("""COMPUTED_VALUE"""),264709.0)</f>
        <v>264709</v>
      </c>
      <c r="E34" s="4">
        <f>IFERROR(__xludf.DUMMYFUNCTION("""COMPUTED_VALUE"""),182.0)</f>
        <v>182</v>
      </c>
      <c r="F34" s="4">
        <f>IFERROR(__xludf.DUMMYFUNCTION("""COMPUTED_VALUE"""),500000.0)</f>
        <v>500000</v>
      </c>
      <c r="G34" s="4" t="str">
        <f>IFERROR(__xludf.DUMMYFUNCTION("""COMPUTED_VALUE"""),"RISK")</f>
        <v>RISK</v>
      </c>
      <c r="H34" s="4">
        <f>IFERROR(__xludf.DUMMYFUNCTION("""COMPUTED_VALUE"""),40.0)</f>
        <v>40</v>
      </c>
      <c r="I34" s="4" t="str">
        <f>IFERROR(__xludf.DUMMYFUNCTION("""COMPUTED_VALUE"""),"DANGEROUS")</f>
        <v>DANGEROUS</v>
      </c>
      <c r="J34" s="5"/>
      <c r="K34" s="5"/>
      <c r="L34" s="5"/>
      <c r="M34" s="5"/>
      <c r="N34" s="5"/>
      <c r="O34" s="4"/>
      <c r="P34" s="4"/>
      <c r="Q34" s="4">
        <f>IFERROR(__xludf.DUMMYFUNCTION("""COMPUTED_VALUE"""),4488.0)</f>
        <v>4488</v>
      </c>
      <c r="R34" s="4">
        <f>IFERROR(__xludf.DUMMYFUNCTION("""COMPUTED_VALUE"""),3079.0)</f>
        <v>3079</v>
      </c>
      <c r="S34" s="4">
        <f>IFERROR(__xludf.DUMMYFUNCTION("""COMPUTED_VALUE"""),4992.0)</f>
        <v>4992</v>
      </c>
      <c r="T34" s="4">
        <f>IFERROR(__xludf.DUMMYFUNCTION("""COMPUTED_VALUE"""),102394.0)</f>
        <v>102394</v>
      </c>
      <c r="U34" s="4">
        <f>IFERROR(__xludf.DUMMYFUNCTION("""COMPUTED_VALUE"""),149756.0)</f>
        <v>149756</v>
      </c>
      <c r="V34" s="4"/>
      <c r="W34" s="4"/>
    </row>
    <row r="35">
      <c r="A35" s="4" t="str">
        <f>IFERROR(__xludf.DUMMYFUNCTION("""COMPUTED_VALUE"""),"KAMADGIRI VASTRALAYA PVT LTD")</f>
        <v>KAMADGIRI VASTRALAYA PVT LTD</v>
      </c>
      <c r="B35" s="4" t="str">
        <f>IFERROR(__xludf.DUMMYFUNCTION("""COMPUTED_VALUE"""),"AJAY")</f>
        <v>AJAY</v>
      </c>
      <c r="C35" s="4"/>
      <c r="D35" s="5">
        <f>IFERROR(__xludf.DUMMYFUNCTION("""COMPUTED_VALUE"""),1.0)</f>
        <v>1</v>
      </c>
      <c r="E35" s="4">
        <f>IFERROR(__xludf.DUMMYFUNCTION("""COMPUTED_VALUE"""),171.0)</f>
        <v>171</v>
      </c>
      <c r="F35" s="4">
        <f>IFERROR(__xludf.DUMMYFUNCTION("""COMPUTED_VALUE"""),1000000.0)</f>
        <v>1000000</v>
      </c>
      <c r="G35" s="4" t="str">
        <f>IFERROR(__xludf.DUMMYFUNCTION("""COMPUTED_VALUE"""),"RISK")</f>
        <v>RISK</v>
      </c>
      <c r="H35" s="4">
        <f>IFERROR(__xludf.DUMMYFUNCTION("""COMPUTED_VALUE"""),40.0)</f>
        <v>40</v>
      </c>
      <c r="I35" s="4" t="str">
        <f>IFERROR(__xludf.DUMMYFUNCTION("""COMPUTED_VALUE"""),"DANGEROUS")</f>
        <v>DANGEROUS</v>
      </c>
      <c r="J35" s="5"/>
      <c r="K35" s="5"/>
      <c r="L35" s="5"/>
      <c r="M35" s="5"/>
      <c r="N35" s="5"/>
      <c r="O35" s="4"/>
      <c r="P35" s="4"/>
      <c r="Q35" s="4"/>
      <c r="R35" s="4">
        <f>IFERROR(__xludf.DUMMYFUNCTION("""COMPUTED_VALUE"""),1.0)</f>
        <v>1</v>
      </c>
      <c r="S35" s="4"/>
      <c r="T35" s="4"/>
      <c r="U35" s="4"/>
      <c r="V35" s="4"/>
      <c r="W35" s="4"/>
    </row>
    <row r="36">
      <c r="A36" s="4" t="str">
        <f>IFERROR(__xludf.DUMMYFUNCTION("""COMPUTED_VALUE"""),"AGRAHERI GARMENTS LKO")</f>
        <v>AGRAHERI GARMENTS LKO</v>
      </c>
      <c r="B36" s="4" t="str">
        <f>IFERROR(__xludf.DUMMYFUNCTION("""COMPUTED_VALUE"""),"AJAY")</f>
        <v>AJAY</v>
      </c>
      <c r="C36" s="4">
        <f>IFERROR(__xludf.DUMMYFUNCTION("""COMPUTED_VALUE"""),9.450659779E9)</f>
        <v>9450659779</v>
      </c>
      <c r="D36" s="5">
        <f>IFERROR(__xludf.DUMMYFUNCTION("""COMPUTED_VALUE"""),25000.0)</f>
        <v>25000</v>
      </c>
      <c r="E36" s="4">
        <f>IFERROR(__xludf.DUMMYFUNCTION("""COMPUTED_VALUE"""),166.0)</f>
        <v>166</v>
      </c>
      <c r="F36" s="4">
        <f>IFERROR(__xludf.DUMMYFUNCTION("""COMPUTED_VALUE"""),100000.0)</f>
        <v>100000</v>
      </c>
      <c r="G36" s="4" t="str">
        <f>IFERROR(__xludf.DUMMYFUNCTION("""COMPUTED_VALUE"""),"RISK")</f>
        <v>RISK</v>
      </c>
      <c r="H36" s="4">
        <f>IFERROR(__xludf.DUMMYFUNCTION("""COMPUTED_VALUE"""),50.0)</f>
        <v>50</v>
      </c>
      <c r="I36" s="4" t="str">
        <f>IFERROR(__xludf.DUMMYFUNCTION("""COMPUTED_VALUE"""),"DANGEROUS")</f>
        <v>DANGEROUS</v>
      </c>
      <c r="J36" s="5"/>
      <c r="K36" s="5"/>
      <c r="L36" s="5"/>
      <c r="M36" s="5"/>
      <c r="N36" s="5"/>
      <c r="O36" s="4"/>
      <c r="P36" s="4"/>
      <c r="Q36" s="4"/>
      <c r="R36" s="4">
        <f>IFERROR(__xludf.DUMMYFUNCTION("""COMPUTED_VALUE"""),25000.0)</f>
        <v>25000</v>
      </c>
      <c r="S36" s="4"/>
      <c r="T36" s="4"/>
      <c r="U36" s="4"/>
      <c r="V36" s="4"/>
      <c r="W36" s="4"/>
    </row>
    <row r="37">
      <c r="A37" s="4" t="str">
        <f>IFERROR(__xludf.DUMMYFUNCTION("""COMPUTED_VALUE"""),"FRIENDZ INCORPORATED")</f>
        <v>FRIENDZ INCORPORATED</v>
      </c>
      <c r="B37" s="4" t="str">
        <f>IFERROR(__xludf.DUMMYFUNCTION("""COMPUTED_VALUE"""),"AJAY")</f>
        <v>AJAY</v>
      </c>
      <c r="C37" s="4"/>
      <c r="D37" s="5">
        <f>IFERROR(__xludf.DUMMYFUNCTION("""COMPUTED_VALUE"""),224431.97999999998)</f>
        <v>224431.98</v>
      </c>
      <c r="E37" s="4">
        <f>IFERROR(__xludf.DUMMYFUNCTION("""COMPUTED_VALUE"""),164.0)</f>
        <v>164</v>
      </c>
      <c r="F37" s="4">
        <f>IFERROR(__xludf.DUMMYFUNCTION("""COMPUTED_VALUE"""),500000.0)</f>
        <v>500000</v>
      </c>
      <c r="G37" s="4" t="str">
        <f>IFERROR(__xludf.DUMMYFUNCTION("""COMPUTED_VALUE"""),"RISK")</f>
        <v>RISK</v>
      </c>
      <c r="H37" s="4">
        <f>IFERROR(__xludf.DUMMYFUNCTION("""COMPUTED_VALUE"""),40.0)</f>
        <v>40</v>
      </c>
      <c r="I37" s="4" t="str">
        <f>IFERROR(__xludf.DUMMYFUNCTION("""COMPUTED_VALUE"""),"DANGEROUS")</f>
        <v>DANGEROUS</v>
      </c>
      <c r="J37" s="5"/>
      <c r="K37" s="5"/>
      <c r="L37" s="5"/>
      <c r="M37" s="5"/>
      <c r="N37" s="5"/>
      <c r="O37" s="4"/>
      <c r="P37" s="4"/>
      <c r="Q37" s="4"/>
      <c r="R37" s="4">
        <f>IFERROR(__xludf.DUMMYFUNCTION("""COMPUTED_VALUE"""),4589.0)</f>
        <v>4589</v>
      </c>
      <c r="S37" s="4">
        <f>IFERROR(__xludf.DUMMYFUNCTION("""COMPUTED_VALUE"""),53828.979999999996)</f>
        <v>53828.98</v>
      </c>
      <c r="T37" s="4"/>
      <c r="U37" s="4">
        <f>IFERROR(__xludf.DUMMYFUNCTION("""COMPUTED_VALUE"""),166014.0)</f>
        <v>166014</v>
      </c>
      <c r="V37" s="4"/>
      <c r="W37" s="4"/>
    </row>
    <row r="38">
      <c r="A38" s="4" t="str">
        <f>IFERROR(__xludf.DUMMYFUNCTION("""COMPUTED_VALUE"""),"DESIRE")</f>
        <v>DESIRE</v>
      </c>
      <c r="B38" s="4" t="str">
        <f>IFERROR(__xludf.DUMMYFUNCTION("""COMPUTED_VALUE"""),"AJAY")</f>
        <v>AJAY</v>
      </c>
      <c r="C38" s="4">
        <f>IFERROR(__xludf.DUMMYFUNCTION("""COMPUTED_VALUE"""),9.415787414E9)</f>
        <v>9415787414</v>
      </c>
      <c r="D38" s="5">
        <f>IFERROR(__xludf.DUMMYFUNCTION("""COMPUTED_VALUE"""),2748.0)</f>
        <v>2748</v>
      </c>
      <c r="E38" s="4">
        <f>IFERROR(__xludf.DUMMYFUNCTION("""COMPUTED_VALUE"""),146.0)</f>
        <v>146</v>
      </c>
      <c r="F38" s="4">
        <f>IFERROR(__xludf.DUMMYFUNCTION("""COMPUTED_VALUE"""),200000.0)</f>
        <v>200000</v>
      </c>
      <c r="G38" s="4" t="str">
        <f>IFERROR(__xludf.DUMMYFUNCTION("""COMPUTED_VALUE"""),"RISK")</f>
        <v>RISK</v>
      </c>
      <c r="H38" s="4">
        <f>IFERROR(__xludf.DUMMYFUNCTION("""COMPUTED_VALUE"""),40.0)</f>
        <v>40</v>
      </c>
      <c r="I38" s="4" t="str">
        <f>IFERROR(__xludf.DUMMYFUNCTION("""COMPUTED_VALUE"""),"DANGEROUS")</f>
        <v>DANGEROUS</v>
      </c>
      <c r="J38" s="5"/>
      <c r="K38" s="5"/>
      <c r="L38" s="5"/>
      <c r="M38" s="5"/>
      <c r="N38" s="5"/>
      <c r="O38" s="4"/>
      <c r="P38" s="4"/>
      <c r="Q38" s="4"/>
      <c r="R38" s="4"/>
      <c r="S38" s="4">
        <f>IFERROR(__xludf.DUMMYFUNCTION("""COMPUTED_VALUE"""),2748.0)</f>
        <v>2748</v>
      </c>
      <c r="T38" s="4"/>
      <c r="U38" s="4"/>
      <c r="V38" s="4"/>
      <c r="W38" s="4"/>
    </row>
    <row r="39">
      <c r="A39" s="4" t="str">
        <f>IFERROR(__xludf.DUMMYFUNCTION("""COMPUTED_VALUE"""),"PRAGATI FAMILY WEAR")</f>
        <v>PRAGATI FAMILY WEAR</v>
      </c>
      <c r="B39" s="4" t="str">
        <f>IFERROR(__xludf.DUMMYFUNCTION("""COMPUTED_VALUE"""),"AJAY")</f>
        <v>AJAY</v>
      </c>
      <c r="C39" s="4">
        <f>IFERROR(__xludf.DUMMYFUNCTION("""COMPUTED_VALUE"""),9.451031619E9)</f>
        <v>9451031619</v>
      </c>
      <c r="D39" s="5">
        <f>IFERROR(__xludf.DUMMYFUNCTION("""COMPUTED_VALUE"""),33218.0)</f>
        <v>33218</v>
      </c>
      <c r="E39" s="4">
        <f>IFERROR(__xludf.DUMMYFUNCTION("""COMPUTED_VALUE"""),143.0)</f>
        <v>143</v>
      </c>
      <c r="F39" s="4">
        <f>IFERROR(__xludf.DUMMYFUNCTION("""COMPUTED_VALUE"""),100000.0)</f>
        <v>100000</v>
      </c>
      <c r="G39" s="4" t="str">
        <f>IFERROR(__xludf.DUMMYFUNCTION("""COMPUTED_VALUE"""),"RISK")</f>
        <v>RISK</v>
      </c>
      <c r="H39" s="4">
        <f>IFERROR(__xludf.DUMMYFUNCTION("""COMPUTED_VALUE"""),40.0)</f>
        <v>40</v>
      </c>
      <c r="I39" s="4" t="str">
        <f>IFERROR(__xludf.DUMMYFUNCTION("""COMPUTED_VALUE"""),"DANGEROUS")</f>
        <v>DANGEROUS</v>
      </c>
      <c r="J39" s="5"/>
      <c r="K39" s="5"/>
      <c r="L39" s="5"/>
      <c r="M39" s="5"/>
      <c r="N39" s="5"/>
      <c r="O39" s="4"/>
      <c r="P39" s="4"/>
      <c r="Q39" s="4"/>
      <c r="R39" s="4"/>
      <c r="S39" s="4">
        <f>IFERROR(__xludf.DUMMYFUNCTION("""COMPUTED_VALUE"""),2514.0)</f>
        <v>2514</v>
      </c>
      <c r="T39" s="4"/>
      <c r="U39" s="4">
        <f>IFERROR(__xludf.DUMMYFUNCTION("""COMPUTED_VALUE"""),30704.0)</f>
        <v>30704</v>
      </c>
      <c r="V39" s="4"/>
      <c r="W39" s="4"/>
    </row>
    <row r="40">
      <c r="A40" s="4" t="str">
        <f>IFERROR(__xludf.DUMMYFUNCTION("""COMPUTED_VALUE"""),"VASTRAM")</f>
        <v>VASTRAM</v>
      </c>
      <c r="B40" s="4" t="str">
        <f>IFERROR(__xludf.DUMMYFUNCTION("""COMPUTED_VALUE"""),"AJAY")</f>
        <v>AJAY</v>
      </c>
      <c r="C40" s="4">
        <f>IFERROR(__xludf.DUMMYFUNCTION("""COMPUTED_VALUE"""),9.935222266E9)</f>
        <v>9935222266</v>
      </c>
      <c r="D40" s="5">
        <f>IFERROR(__xludf.DUMMYFUNCTION("""COMPUTED_VALUE"""),82223.0)</f>
        <v>82223</v>
      </c>
      <c r="E40" s="4">
        <f>IFERROR(__xludf.DUMMYFUNCTION("""COMPUTED_VALUE"""),136.0)</f>
        <v>136</v>
      </c>
      <c r="F40" s="4">
        <f>IFERROR(__xludf.DUMMYFUNCTION("""COMPUTED_VALUE"""),500000.0)</f>
        <v>500000</v>
      </c>
      <c r="G40" s="4" t="str">
        <f>IFERROR(__xludf.DUMMYFUNCTION("""COMPUTED_VALUE"""),"RISK")</f>
        <v>RISK</v>
      </c>
      <c r="H40" s="4">
        <f>IFERROR(__xludf.DUMMYFUNCTION("""COMPUTED_VALUE"""),50.0)</f>
        <v>50</v>
      </c>
      <c r="I40" s="4" t="str">
        <f>IFERROR(__xludf.DUMMYFUNCTION("""COMPUTED_VALUE"""),"DANGEROUS")</f>
        <v>DANGEROUS</v>
      </c>
      <c r="J40" s="5"/>
      <c r="K40" s="5"/>
      <c r="L40" s="5"/>
      <c r="M40" s="5"/>
      <c r="N40" s="5"/>
      <c r="O40" s="4"/>
      <c r="P40" s="4"/>
      <c r="Q40" s="4"/>
      <c r="R40" s="4"/>
      <c r="S40" s="4">
        <f>IFERROR(__xludf.DUMMYFUNCTION("""COMPUTED_VALUE"""),45666.0)</f>
        <v>45666</v>
      </c>
      <c r="T40" s="4">
        <f>IFERROR(__xludf.DUMMYFUNCTION("""COMPUTED_VALUE"""),2812.0)</f>
        <v>2812</v>
      </c>
      <c r="U40" s="4">
        <f>IFERROR(__xludf.DUMMYFUNCTION("""COMPUTED_VALUE"""),33745.0)</f>
        <v>33745</v>
      </c>
      <c r="V40" s="4"/>
      <c r="W40" s="4"/>
    </row>
    <row r="41">
      <c r="A41" s="4" t="str">
        <f>IFERROR(__xludf.DUMMYFUNCTION("""COMPUTED_VALUE"""),"BRIJWASI FASHION")</f>
        <v>BRIJWASI FASHION</v>
      </c>
      <c r="B41" s="4" t="str">
        <f>IFERROR(__xludf.DUMMYFUNCTION("""COMPUTED_VALUE"""),"AJAY")</f>
        <v>AJAY</v>
      </c>
      <c r="C41" s="4">
        <f>IFERROR(__xludf.DUMMYFUNCTION("""COMPUTED_VALUE"""),9.307948081E9)</f>
        <v>9307948081</v>
      </c>
      <c r="D41" s="5">
        <f>IFERROR(__xludf.DUMMYFUNCTION("""COMPUTED_VALUE"""),146827.0)</f>
        <v>146827</v>
      </c>
      <c r="E41" s="4">
        <f>IFERROR(__xludf.DUMMYFUNCTION("""COMPUTED_VALUE"""),129.0)</f>
        <v>129</v>
      </c>
      <c r="F41" s="4">
        <f>IFERROR(__xludf.DUMMYFUNCTION("""COMPUTED_VALUE"""),1000000.0)</f>
        <v>1000000</v>
      </c>
      <c r="G41" s="4" t="str">
        <f>IFERROR(__xludf.DUMMYFUNCTION("""COMPUTED_VALUE"""),"RISK")</f>
        <v>RISK</v>
      </c>
      <c r="H41" s="4">
        <f>IFERROR(__xludf.DUMMYFUNCTION("""COMPUTED_VALUE"""),40.0)</f>
        <v>40</v>
      </c>
      <c r="I41" s="4" t="str">
        <f>IFERROR(__xludf.DUMMYFUNCTION("""COMPUTED_VALUE"""),"DANGEROUS")</f>
        <v>DANGEROUS</v>
      </c>
      <c r="J41" s="5"/>
      <c r="K41" s="5"/>
      <c r="L41" s="5"/>
      <c r="M41" s="5"/>
      <c r="N41" s="5"/>
      <c r="O41" s="4"/>
      <c r="P41" s="4"/>
      <c r="Q41" s="4"/>
      <c r="R41" s="4"/>
      <c r="S41" s="4">
        <f>IFERROR(__xludf.DUMMYFUNCTION("""COMPUTED_VALUE"""),17009.0)</f>
        <v>17009</v>
      </c>
      <c r="T41" s="4"/>
      <c r="U41" s="4">
        <f>IFERROR(__xludf.DUMMYFUNCTION("""COMPUTED_VALUE"""),129818.0)</f>
        <v>129818</v>
      </c>
      <c r="V41" s="4"/>
      <c r="W41" s="4"/>
    </row>
    <row r="42">
      <c r="A42" s="4" t="str">
        <f>IFERROR(__xludf.DUMMYFUNCTION("""COMPUTED_VALUE"""),"GEETA VASTRALAYA")</f>
        <v>GEETA VASTRALAYA</v>
      </c>
      <c r="B42" s="4" t="str">
        <f>IFERROR(__xludf.DUMMYFUNCTION("""COMPUTED_VALUE"""),"AJAY")</f>
        <v>AJAY</v>
      </c>
      <c r="C42" s="4">
        <f>IFERROR(__xludf.DUMMYFUNCTION("""COMPUTED_VALUE"""),9.415137505E9)</f>
        <v>9415137505</v>
      </c>
      <c r="D42" s="5">
        <f>IFERROR(__xludf.DUMMYFUNCTION("""COMPUTED_VALUE"""),10183.0)</f>
        <v>10183</v>
      </c>
      <c r="E42" s="4">
        <f>IFERROR(__xludf.DUMMYFUNCTION("""COMPUTED_VALUE"""),129.0)</f>
        <v>129</v>
      </c>
      <c r="F42" s="4">
        <f>IFERROR(__xludf.DUMMYFUNCTION("""COMPUTED_VALUE"""),200000.0)</f>
        <v>200000</v>
      </c>
      <c r="G42" s="4" t="str">
        <f>IFERROR(__xludf.DUMMYFUNCTION("""COMPUTED_VALUE"""),"RISK")</f>
        <v>RISK</v>
      </c>
      <c r="H42" s="4">
        <f>IFERROR(__xludf.DUMMYFUNCTION("""COMPUTED_VALUE"""),50.0)</f>
        <v>50</v>
      </c>
      <c r="I42" s="4" t="str">
        <f>IFERROR(__xludf.DUMMYFUNCTION("""COMPUTED_VALUE"""),"DANGEROUS")</f>
        <v>DANGEROUS</v>
      </c>
      <c r="J42" s="5"/>
      <c r="K42" s="5"/>
      <c r="L42" s="5"/>
      <c r="M42" s="5"/>
      <c r="N42" s="5"/>
      <c r="O42" s="4"/>
      <c r="P42" s="4"/>
      <c r="Q42" s="4"/>
      <c r="R42" s="4"/>
      <c r="S42" s="4">
        <f>IFERROR(__xludf.DUMMYFUNCTION("""COMPUTED_VALUE"""),10183.0)</f>
        <v>10183</v>
      </c>
      <c r="T42" s="4"/>
      <c r="U42" s="4"/>
      <c r="V42" s="4"/>
      <c r="W42" s="4"/>
    </row>
    <row r="43">
      <c r="A43" s="4" t="str">
        <f>IFERROR(__xludf.DUMMYFUNCTION("""COMPUTED_VALUE"""),"LALA RAGUBEER PRASAD &amp; SONS")</f>
        <v>LALA RAGUBEER PRASAD &amp; SONS</v>
      </c>
      <c r="B43" s="4" t="str">
        <f>IFERROR(__xludf.DUMMYFUNCTION("""COMPUTED_VALUE"""),"AJAY")</f>
        <v>AJAY</v>
      </c>
      <c r="C43" s="4">
        <f>IFERROR(__xludf.DUMMYFUNCTION("""COMPUTED_VALUE"""),9.839448317E9)</f>
        <v>9839448317</v>
      </c>
      <c r="D43" s="5">
        <f>IFERROR(__xludf.DUMMYFUNCTION("""COMPUTED_VALUE"""),196931.0)</f>
        <v>196931</v>
      </c>
      <c r="E43" s="4">
        <f>IFERROR(__xludf.DUMMYFUNCTION("""COMPUTED_VALUE"""),97.0)</f>
        <v>97</v>
      </c>
      <c r="F43" s="4">
        <f>IFERROR(__xludf.DUMMYFUNCTION("""COMPUTED_VALUE"""),500000.0)</f>
        <v>500000</v>
      </c>
      <c r="G43" s="4" t="str">
        <f>IFERROR(__xludf.DUMMYFUNCTION("""COMPUTED_VALUE"""),"NORMAL")</f>
        <v>NORMAL</v>
      </c>
      <c r="H43" s="4">
        <f>IFERROR(__xludf.DUMMYFUNCTION("""COMPUTED_VALUE"""),35.0)</f>
        <v>35</v>
      </c>
      <c r="I43" s="4" t="str">
        <f>IFERROR(__xludf.DUMMYFUNCTION("""COMPUTED_VALUE"""),"SLOW")</f>
        <v>SLOW</v>
      </c>
      <c r="J43" s="5"/>
      <c r="K43" s="5"/>
      <c r="L43" s="5"/>
      <c r="M43" s="5"/>
      <c r="N43" s="5"/>
      <c r="O43" s="4"/>
      <c r="P43" s="4"/>
      <c r="Q43" s="4"/>
      <c r="R43" s="4"/>
      <c r="S43" s="4"/>
      <c r="T43" s="4">
        <f>IFERROR(__xludf.DUMMYFUNCTION("""COMPUTED_VALUE"""),196931.0)</f>
        <v>196931</v>
      </c>
      <c r="U43" s="4"/>
      <c r="V43" s="4"/>
      <c r="W43" s="4"/>
    </row>
    <row r="44">
      <c r="A44" s="4" t="str">
        <f>IFERROR(__xludf.DUMMYFUNCTION("""COMPUTED_VALUE"""),"AJAY CLOTH HOUSE")</f>
        <v>AJAY CLOTH HOUSE</v>
      </c>
      <c r="B44" s="4" t="str">
        <f>IFERROR(__xludf.DUMMYFUNCTION("""COMPUTED_VALUE"""),"AJAY")</f>
        <v>AJAY</v>
      </c>
      <c r="C44" s="4">
        <f>IFERROR(__xludf.DUMMYFUNCTION("""COMPUTED_VALUE"""),9.839074709E9)</f>
        <v>9839074709</v>
      </c>
      <c r="D44" s="5">
        <f>IFERROR(__xludf.DUMMYFUNCTION("""COMPUTED_VALUE"""),280465.0)</f>
        <v>280465</v>
      </c>
      <c r="E44" s="4">
        <f>IFERROR(__xludf.DUMMYFUNCTION("""COMPUTED_VALUE"""),90.0)</f>
        <v>90</v>
      </c>
      <c r="F44" s="4">
        <f>IFERROR(__xludf.DUMMYFUNCTION("""COMPUTED_VALUE"""),700000.0)</f>
        <v>700000</v>
      </c>
      <c r="G44" s="4" t="str">
        <f>IFERROR(__xludf.DUMMYFUNCTION("""COMPUTED_VALUE"""),"NORMAL")</f>
        <v>NORMAL</v>
      </c>
      <c r="H44" s="4">
        <f>IFERROR(__xludf.DUMMYFUNCTION("""COMPUTED_VALUE"""),25.0)</f>
        <v>25</v>
      </c>
      <c r="I44" s="4" t="str">
        <f>IFERROR(__xludf.DUMMYFUNCTION("""COMPUTED_VALUE"""),"SLOW")</f>
        <v>SLOW</v>
      </c>
      <c r="J44" s="5"/>
      <c r="K44" s="5"/>
      <c r="L44" s="5"/>
      <c r="M44" s="5"/>
      <c r="N44" s="5"/>
      <c r="O44" s="4"/>
      <c r="P44" s="4"/>
      <c r="Q44" s="4"/>
      <c r="R44" s="4"/>
      <c r="S44" s="4"/>
      <c r="T44" s="4">
        <f>IFERROR(__xludf.DUMMYFUNCTION("""COMPUTED_VALUE"""),120415.0)</f>
        <v>120415</v>
      </c>
      <c r="U44" s="4">
        <f>IFERROR(__xludf.DUMMYFUNCTION("""COMPUTED_VALUE"""),160050.0)</f>
        <v>160050</v>
      </c>
      <c r="V44" s="4"/>
      <c r="W44" s="4"/>
    </row>
    <row r="45">
      <c r="A45" s="4" t="str">
        <f>IFERROR(__xludf.DUMMYFUNCTION("""COMPUTED_VALUE"""),"FRONTIER GARMENTS")</f>
        <v>FRONTIER GARMENTS</v>
      </c>
      <c r="B45" s="4" t="str">
        <f>IFERROR(__xludf.DUMMYFUNCTION("""COMPUTED_VALUE"""),"AJAY")</f>
        <v>AJAY</v>
      </c>
      <c r="C45" s="4">
        <f>IFERROR(__xludf.DUMMYFUNCTION("""COMPUTED_VALUE"""),9.889191181E9)</f>
        <v>9889191181</v>
      </c>
      <c r="D45" s="5">
        <f>IFERROR(__xludf.DUMMYFUNCTION("""COMPUTED_VALUE"""),1666.0)</f>
        <v>1666</v>
      </c>
      <c r="E45" s="4">
        <f>IFERROR(__xludf.DUMMYFUNCTION("""COMPUTED_VALUE"""),71.0)</f>
        <v>71</v>
      </c>
      <c r="F45" s="4">
        <f>IFERROR(__xludf.DUMMYFUNCTION("""COMPUTED_VALUE"""),100000.0)</f>
        <v>100000</v>
      </c>
      <c r="G45" s="4" t="str">
        <f>IFERROR(__xludf.DUMMYFUNCTION("""COMPUTED_VALUE"""),"RISK")</f>
        <v>RISK</v>
      </c>
      <c r="H45" s="4">
        <f>IFERROR(__xludf.DUMMYFUNCTION("""COMPUTED_VALUE"""),60.0)</f>
        <v>60</v>
      </c>
      <c r="I45" s="4" t="str">
        <f>IFERROR(__xludf.DUMMYFUNCTION("""COMPUTED_VALUE"""),"FALSE")</f>
        <v>FALSE</v>
      </c>
      <c r="J45" s="5"/>
      <c r="K45" s="5"/>
      <c r="L45" s="5"/>
      <c r="M45" s="5"/>
      <c r="N45" s="5"/>
      <c r="O45" s="4"/>
      <c r="P45" s="4"/>
      <c r="Q45" s="4"/>
      <c r="R45" s="4"/>
      <c r="S45" s="4"/>
      <c r="T45" s="4"/>
      <c r="U45" s="4">
        <f>IFERROR(__xludf.DUMMYFUNCTION("""COMPUTED_VALUE"""),1666.0)</f>
        <v>1666</v>
      </c>
      <c r="V45" s="4"/>
      <c r="W45" s="4"/>
    </row>
    <row r="46">
      <c r="A46" s="4" t="str">
        <f>IFERROR(__xludf.DUMMYFUNCTION("""COMPUTED_VALUE"""),"GARHA BHANDAR")</f>
        <v>GARHA BHANDAR</v>
      </c>
      <c r="B46" s="4" t="str">
        <f>IFERROR(__xludf.DUMMYFUNCTION("""COMPUTED_VALUE"""),"AJAY")</f>
        <v>AJAY</v>
      </c>
      <c r="C46" s="4"/>
      <c r="D46" s="5">
        <f>IFERROR(__xludf.DUMMYFUNCTION("""COMPUTED_VALUE"""),478102.0)</f>
        <v>478102</v>
      </c>
      <c r="E46" s="4">
        <f>IFERROR(__xludf.DUMMYFUNCTION("""COMPUTED_VALUE"""),71.0)</f>
        <v>71</v>
      </c>
      <c r="F46" s="4">
        <f>IFERROR(__xludf.DUMMYFUNCTION("""COMPUTED_VALUE"""),100000.0)</f>
        <v>100000</v>
      </c>
      <c r="G46" s="4" t="str">
        <f>IFERROR(__xludf.DUMMYFUNCTION("""COMPUTED_VALUE"""),"NORMAL")</f>
        <v>NORMAL</v>
      </c>
      <c r="H46" s="4">
        <f>IFERROR(__xludf.DUMMYFUNCTION("""COMPUTED_VALUE"""),25.0)</f>
        <v>25</v>
      </c>
      <c r="I46" s="4" t="str">
        <f>IFERROR(__xludf.DUMMYFUNCTION("""COMPUTED_VALUE"""),"FALSE")</f>
        <v>FALSE</v>
      </c>
      <c r="J46" s="5"/>
      <c r="K46" s="5"/>
      <c r="L46" s="5"/>
      <c r="M46" s="5"/>
      <c r="N46" s="5"/>
      <c r="O46" s="4"/>
      <c r="P46" s="4"/>
      <c r="Q46" s="4"/>
      <c r="R46" s="4"/>
      <c r="S46" s="4"/>
      <c r="T46" s="4"/>
      <c r="U46" s="4">
        <f>IFERROR(__xludf.DUMMYFUNCTION("""COMPUTED_VALUE"""),478102.0)</f>
        <v>478102</v>
      </c>
      <c r="V46" s="4"/>
      <c r="W46" s="4"/>
    </row>
    <row r="47">
      <c r="A47" s="4" t="str">
        <f>IFERROR(__xludf.DUMMYFUNCTION("""COMPUTED_VALUE"""),"GULATI READYMADE GARMENTS")</f>
        <v>GULATI READYMADE GARMENTS</v>
      </c>
      <c r="B47" s="4" t="str">
        <f>IFERROR(__xludf.DUMMYFUNCTION("""COMPUTED_VALUE"""),"AJAY")</f>
        <v>AJAY</v>
      </c>
      <c r="C47" s="4">
        <f>IFERROR(__xludf.DUMMYFUNCTION("""COMPUTED_VALUE"""),9.452588219E9)</f>
        <v>9452588219</v>
      </c>
      <c r="D47" s="5">
        <f>IFERROR(__xludf.DUMMYFUNCTION("""COMPUTED_VALUE"""),32040.0)</f>
        <v>32040</v>
      </c>
      <c r="E47" s="4">
        <f>IFERROR(__xludf.DUMMYFUNCTION("""COMPUTED_VALUE"""),67.0)</f>
        <v>67</v>
      </c>
      <c r="F47" s="4">
        <f>IFERROR(__xludf.DUMMYFUNCTION("""COMPUTED_VALUE"""),500000.0)</f>
        <v>500000</v>
      </c>
      <c r="G47" s="4" t="str">
        <f>IFERROR(__xludf.DUMMYFUNCTION("""COMPUTED_VALUE"""),"NORMAL")</f>
        <v>NORMAL</v>
      </c>
      <c r="H47" s="4">
        <f>IFERROR(__xludf.DUMMYFUNCTION("""COMPUTED_VALUE"""),25.0)</f>
        <v>25</v>
      </c>
      <c r="I47" s="4" t="str">
        <f>IFERROR(__xludf.DUMMYFUNCTION("""COMPUTED_VALUE"""),"FALSE")</f>
        <v>FALSE</v>
      </c>
      <c r="J47" s="5"/>
      <c r="K47" s="5"/>
      <c r="L47" s="5"/>
      <c r="M47" s="5"/>
      <c r="N47" s="5"/>
      <c r="O47" s="4"/>
      <c r="P47" s="4"/>
      <c r="Q47" s="4"/>
      <c r="R47" s="4"/>
      <c r="S47" s="4"/>
      <c r="T47" s="4"/>
      <c r="U47" s="4">
        <f>IFERROR(__xludf.DUMMYFUNCTION("""COMPUTED_VALUE"""),32040.0)</f>
        <v>32040</v>
      </c>
      <c r="V47" s="4"/>
      <c r="W47" s="4"/>
    </row>
    <row r="48">
      <c r="A48" s="4" t="str">
        <f>IFERROR(__xludf.DUMMYFUNCTION("""COMPUTED_VALUE"""),"VIJAY TRADERS")</f>
        <v>VIJAY TRADERS</v>
      </c>
      <c r="B48" s="4" t="str">
        <f>IFERROR(__xludf.DUMMYFUNCTION("""COMPUTED_VALUE"""),"AJAY")</f>
        <v>AJAY</v>
      </c>
      <c r="C48" s="4">
        <f>IFERROR(__xludf.DUMMYFUNCTION("""COMPUTED_VALUE"""),9.695163118E9)</f>
        <v>9695163118</v>
      </c>
      <c r="D48" s="5">
        <f>IFERROR(__xludf.DUMMYFUNCTION("""COMPUTED_VALUE"""),2380.0)</f>
        <v>2380</v>
      </c>
      <c r="E48" s="4">
        <f>IFERROR(__xludf.DUMMYFUNCTION("""COMPUTED_VALUE"""),63.0)</f>
        <v>63</v>
      </c>
      <c r="F48" s="4">
        <f>IFERROR(__xludf.DUMMYFUNCTION("""COMPUTED_VALUE"""),150000.0)</f>
        <v>150000</v>
      </c>
      <c r="G48" s="4" t="str">
        <f>IFERROR(__xludf.DUMMYFUNCTION("""COMPUTED_VALUE"""),"NORMAL")</f>
        <v>NORMAL</v>
      </c>
      <c r="H48" s="4">
        <f>IFERROR(__xludf.DUMMYFUNCTION("""COMPUTED_VALUE"""),0.0)</f>
        <v>0</v>
      </c>
      <c r="I48" s="4" t="str">
        <f>IFERROR(__xludf.DUMMYFUNCTION("""COMPUTED_VALUE"""),"FALSE")</f>
        <v>FALSE</v>
      </c>
      <c r="J48" s="5"/>
      <c r="K48" s="5"/>
      <c r="L48" s="5"/>
      <c r="M48" s="5"/>
      <c r="N48" s="5"/>
      <c r="O48" s="4"/>
      <c r="P48" s="4"/>
      <c r="Q48" s="4"/>
      <c r="R48" s="4"/>
      <c r="S48" s="4"/>
      <c r="T48" s="4"/>
      <c r="U48" s="4">
        <f>IFERROR(__xludf.DUMMYFUNCTION("""COMPUTED_VALUE"""),2380.0)</f>
        <v>2380</v>
      </c>
      <c r="V48" s="4"/>
      <c r="W48" s="4"/>
    </row>
    <row r="49">
      <c r="A49" s="4" t="str">
        <f>IFERROR(__xludf.DUMMYFUNCTION("""COMPUTED_VALUE"""),"MILAN HOSIERY AND GARMENTS")</f>
        <v>MILAN HOSIERY AND GARMENTS</v>
      </c>
      <c r="B49" s="4" t="str">
        <f>IFERROR(__xludf.DUMMYFUNCTION("""COMPUTED_VALUE"""),"AJAY")</f>
        <v>AJAY</v>
      </c>
      <c r="C49" s="4">
        <f>IFERROR(__xludf.DUMMYFUNCTION("""COMPUTED_VALUE"""),9.33548457E9)</f>
        <v>9335484570</v>
      </c>
      <c r="D49" s="5">
        <f>IFERROR(__xludf.DUMMYFUNCTION("""COMPUTED_VALUE"""),42278.0)</f>
        <v>42278</v>
      </c>
      <c r="E49" s="4">
        <f>IFERROR(__xludf.DUMMYFUNCTION("""COMPUTED_VALUE"""),59.0)</f>
        <v>59</v>
      </c>
      <c r="F49" s="4">
        <f>IFERROR(__xludf.DUMMYFUNCTION("""COMPUTED_VALUE"""),100000.0)</f>
        <v>100000</v>
      </c>
      <c r="G49" s="4" t="str">
        <f>IFERROR(__xludf.DUMMYFUNCTION("""COMPUTED_VALUE"""),"RISK")</f>
        <v>RISK</v>
      </c>
      <c r="H49" s="4">
        <f>IFERROR(__xludf.DUMMYFUNCTION("""COMPUTED_VALUE"""),40.0)</f>
        <v>40</v>
      </c>
      <c r="I49" s="4" t="str">
        <f>IFERROR(__xludf.DUMMYFUNCTION("""COMPUTED_VALUE"""),"GOOD")</f>
        <v>GOOD</v>
      </c>
      <c r="J49" s="5"/>
      <c r="K49" s="5"/>
      <c r="L49" s="5"/>
      <c r="M49" s="5"/>
      <c r="N49" s="5"/>
      <c r="O49" s="4"/>
      <c r="P49" s="4"/>
      <c r="Q49" s="4"/>
      <c r="R49" s="4"/>
      <c r="S49" s="4"/>
      <c r="T49" s="4"/>
      <c r="U49" s="4">
        <f>IFERROR(__xludf.DUMMYFUNCTION("""COMPUTED_VALUE"""),42278.0)</f>
        <v>42278</v>
      </c>
      <c r="V49" s="4"/>
      <c r="W49" s="4"/>
    </row>
    <row r="50">
      <c r="A50" s="4" t="str">
        <f>IFERROR(__xludf.DUMMYFUNCTION("""COMPUTED_VALUE"""),"GAURAVE AND AKHIL ENTERPRISES")</f>
        <v>GAURAVE AND AKHIL ENTERPRISES</v>
      </c>
      <c r="B50" s="4" t="str">
        <f>IFERROR(__xludf.DUMMYFUNCTION("""COMPUTED_VALUE"""),"AJAY")</f>
        <v>AJAY</v>
      </c>
      <c r="C50" s="4">
        <f>IFERROR(__xludf.DUMMYFUNCTION("""COMPUTED_VALUE"""),9.837521199E9)</f>
        <v>9837521199</v>
      </c>
      <c r="D50" s="5">
        <f>IFERROR(__xludf.DUMMYFUNCTION("""COMPUTED_VALUE"""),15023.0)</f>
        <v>15023</v>
      </c>
      <c r="E50" s="4">
        <f>IFERROR(__xludf.DUMMYFUNCTION("""COMPUTED_VALUE"""),406.0)</f>
        <v>406</v>
      </c>
      <c r="F50" s="4">
        <f>IFERROR(__xludf.DUMMYFUNCTION("""COMPUTED_VALUE"""),100000.0)</f>
        <v>100000</v>
      </c>
      <c r="G50" s="4" t="str">
        <f>IFERROR(__xludf.DUMMYFUNCTION("""COMPUTED_VALUE"""),"RISK")</f>
        <v>RISK</v>
      </c>
      <c r="H50" s="4">
        <f>IFERROR(__xludf.DUMMYFUNCTION("""COMPUTED_VALUE"""),65.0)</f>
        <v>65</v>
      </c>
      <c r="I50" s="4" t="str">
        <f>IFERROR(__xludf.DUMMYFUNCTION("""COMPUTED_VALUE"""),"DANGEROUS")</f>
        <v>DANGEROUS</v>
      </c>
      <c r="J50" s="5">
        <f>IFERROR(__xludf.DUMMYFUNCTION("""COMPUTED_VALUE"""),15023.0)</f>
        <v>15023</v>
      </c>
      <c r="K50" s="5"/>
      <c r="L50" s="5"/>
      <c r="M50" s="5"/>
      <c r="N50" s="5"/>
      <c r="O50" s="4"/>
      <c r="P50" s="4"/>
      <c r="Q50" s="4"/>
      <c r="R50" s="4"/>
      <c r="S50" s="4"/>
      <c r="T50" s="4"/>
      <c r="U50" s="4"/>
      <c r="V50" s="4"/>
      <c r="W50" s="4"/>
    </row>
  </sheetData>
  <drawing r:id="rId1"/>
</worksheet>
</file>
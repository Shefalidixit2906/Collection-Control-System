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3" width="14.0"/>
  </cols>
  <sheetData>
    <row r="1">
      <c r="A1" s="1" t="str">
        <f>IFERROR(__xludf.DUMMYFUNCTION("QUERY(IMPORTRANGE(""1o4kGFTI80_EdoNgEzQs7R1-vO13rpAoNe3h9dk3MlSo"", ""AGEING_ANALYSIS!A1:W""), ""select * where lower(Col2) contains 'umakant'"", 1)"),"Dealer Name ")</f>
        <v>Dealer Name </v>
      </c>
      <c r="B1" s="1" t="str">
        <f>IFERROR(__xludf.DUMMYFUNCTION("""COMPUTED_VALUE"""),"Executive/Agent")</f>
        <v>Executive/Agent</v>
      </c>
      <c r="C1" s="1" t="str">
        <f>IFERROR(__xludf.DUMMYFUNCTION("""COMPUTED_VALUE"""),"Contact Number")</f>
        <v>Contact Number</v>
      </c>
      <c r="D1" s="1" t="str">
        <f>IFERROR(__xludf.DUMMYFUNCTION("""COMPUTED_VALUE"""),"Outstanding")</f>
        <v>Outstanding</v>
      </c>
      <c r="E1" s="1" t="str">
        <f>IFERROR(__xludf.DUMMYFUNCTION("""COMPUTED_VALUE"""),"Max Overdue")</f>
        <v>Max Overdue</v>
      </c>
      <c r="F1" s="1" t="str">
        <f>IFERROR(__xludf.DUMMYFUNCTION("""COMPUTED_VALUE"""),"Credit Limit")</f>
        <v>Credit Limit</v>
      </c>
      <c r="G1" s="1" t="str">
        <f>IFERROR(__xludf.DUMMYFUNCTION("""COMPUTED_VALUE"""),"Risk Flag")</f>
        <v>Risk Flag</v>
      </c>
      <c r="H1" s="1" t="str">
        <f>IFERROR(__xludf.DUMMYFUNCTION("""COMPUTED_VALUE"""),"Risk Score")</f>
        <v>Risk Score</v>
      </c>
      <c r="I1" s="1" t="str">
        <f>IFERROR(__xludf.DUMMYFUNCTION("""COMPUTED_VALUE"""),"Behaviour")</f>
        <v>Behaviour</v>
      </c>
      <c r="J1" s="1" t="str">
        <f>IFERROR(__xludf.DUMMYFUNCTION("""COMPUTED_VALUE"""),"February 25")</f>
        <v>February 25</v>
      </c>
      <c r="K1" s="1" t="str">
        <f>IFERROR(__xludf.DUMMYFUNCTION("""COMPUTED_VALUE"""),"March 25")</f>
        <v>March 25</v>
      </c>
      <c r="L1" s="1" t="str">
        <f>IFERROR(__xludf.DUMMYFUNCTION("""COMPUTED_VALUE"""),"April 25")</f>
        <v>April 25</v>
      </c>
      <c r="M1" s="1" t="str">
        <f>IFERROR(__xludf.DUMMYFUNCTION("""COMPUTED_VALUE"""),"May 25")</f>
        <v>May 25</v>
      </c>
      <c r="N1" s="1" t="str">
        <f>IFERROR(__xludf.DUMMYFUNCTION("""COMPUTED_VALUE"""),"June 25")</f>
        <v>June 25</v>
      </c>
      <c r="O1" s="1" t="str">
        <f>IFERROR(__xludf.DUMMYFUNCTION("""COMPUTED_VALUE"""),"July 25")</f>
        <v>July 25</v>
      </c>
      <c r="P1" s="1" t="str">
        <f>IFERROR(__xludf.DUMMYFUNCTION("""COMPUTED_VALUE"""),"August 25")</f>
        <v>August 25</v>
      </c>
      <c r="Q1" s="1" t="str">
        <f>IFERROR(__xludf.DUMMYFUNCTION("""COMPUTED_VALUE"""),"September 25")</f>
        <v>September 25</v>
      </c>
      <c r="R1" s="1" t="str">
        <f>IFERROR(__xludf.DUMMYFUNCTION("""COMPUTED_VALUE"""),"October 25")</f>
        <v>October 25</v>
      </c>
      <c r="S1" s="1" t="str">
        <f>IFERROR(__xludf.DUMMYFUNCTION("""COMPUTED_VALUE"""),"November 25")</f>
        <v>November 25</v>
      </c>
      <c r="T1" s="1" t="str">
        <f>IFERROR(__xludf.DUMMYFUNCTION("""COMPUTED_VALUE"""),"December 25")</f>
        <v>December 25</v>
      </c>
      <c r="U1" s="1" t="str">
        <f>IFERROR(__xludf.DUMMYFUNCTION("""COMPUTED_VALUE"""),"January 26")</f>
        <v>January 26</v>
      </c>
      <c r="V1" s="1" t="str">
        <f>IFERROR(__xludf.DUMMYFUNCTION("""COMPUTED_VALUE"""),"February 26")</f>
        <v>February 26</v>
      </c>
      <c r="W1" s="1" t="str">
        <f>IFERROR(__xludf.DUMMYFUNCTION("""COMPUTED_VALUE"""),"March 26")</f>
        <v>March 26</v>
      </c>
      <c r="X1" s="2"/>
      <c r="Y1" s="2"/>
      <c r="Z1" s="2"/>
    </row>
    <row r="2">
      <c r="A2" s="3" t="str">
        <f>IFERROR(__xludf.DUMMYFUNCTION("""COMPUTED_VALUE"""),"URBAN CLOTHING STORE")</f>
        <v>URBAN CLOTHING STORE</v>
      </c>
      <c r="B2" s="3" t="str">
        <f>IFERROR(__xludf.DUMMYFUNCTION("""COMPUTED_VALUE"""),"UMAKANT")</f>
        <v>UMAKANT</v>
      </c>
      <c r="C2" s="3">
        <f>IFERROR(__xludf.DUMMYFUNCTION("""COMPUTED_VALUE"""),9.837333769E9)</f>
        <v>9837333769</v>
      </c>
      <c r="D2" s="4">
        <f>IFERROR(__xludf.DUMMYFUNCTION("""COMPUTED_VALUE"""),16643.0)</f>
        <v>16643</v>
      </c>
      <c r="E2" s="3">
        <f>IFERROR(__xludf.DUMMYFUNCTION("""COMPUTED_VALUE"""),355.0)</f>
        <v>355</v>
      </c>
      <c r="F2" s="3">
        <f>IFERROR(__xludf.DUMMYFUNCTION("""COMPUTED_VALUE"""),10000.0)</f>
        <v>10000</v>
      </c>
      <c r="G2" s="3" t="str">
        <f>IFERROR(__xludf.DUMMYFUNCTION("""COMPUTED_VALUE"""),"RISK")</f>
        <v>RISK</v>
      </c>
      <c r="H2" s="3">
        <f>IFERROR(__xludf.DUMMYFUNCTION("""COMPUTED_VALUE"""),40.0)</f>
        <v>40</v>
      </c>
      <c r="I2" s="3" t="str">
        <f>IFERROR(__xludf.DUMMYFUNCTION("""COMPUTED_VALUE"""),"DANGEROUS")</f>
        <v>DANGEROUS</v>
      </c>
      <c r="J2" s="4"/>
      <c r="K2" s="4"/>
      <c r="L2" s="4">
        <f>IFERROR(__xludf.DUMMYFUNCTION("""COMPUTED_VALUE"""),16643.0)</f>
        <v>16643</v>
      </c>
      <c r="M2" s="4"/>
      <c r="N2" s="4"/>
      <c r="O2" s="3"/>
      <c r="P2" s="3"/>
      <c r="Q2" s="3"/>
      <c r="R2" s="3"/>
      <c r="S2" s="3"/>
      <c r="T2" s="3"/>
      <c r="U2" s="3"/>
      <c r="V2" s="3"/>
      <c r="W2" s="3"/>
    </row>
    <row r="3">
      <c r="A3" s="3" t="str">
        <f>IFERROR(__xludf.DUMMYFUNCTION("""COMPUTED_VALUE"""),"KWALITY STORE")</f>
        <v>KWALITY STORE</v>
      </c>
      <c r="B3" s="3" t="str">
        <f>IFERROR(__xludf.DUMMYFUNCTION("""COMPUTED_VALUE"""),"UMAKANT")</f>
        <v>UMAKANT</v>
      </c>
      <c r="C3" s="3">
        <f>IFERROR(__xludf.DUMMYFUNCTION("""COMPUTED_VALUE"""),9.927817725E9)</f>
        <v>9927817725</v>
      </c>
      <c r="D3" s="4">
        <f>IFERROR(__xludf.DUMMYFUNCTION("""COMPUTED_VALUE"""),49464.0)</f>
        <v>49464</v>
      </c>
      <c r="E3" s="3">
        <f>IFERROR(__xludf.DUMMYFUNCTION("""COMPUTED_VALUE"""),325.0)</f>
        <v>325</v>
      </c>
      <c r="F3" s="3">
        <f>IFERROR(__xludf.DUMMYFUNCTION("""COMPUTED_VALUE"""),200000.0)</f>
        <v>200000</v>
      </c>
      <c r="G3" s="3" t="str">
        <f>IFERROR(__xludf.DUMMYFUNCTION("""COMPUTED_VALUE"""),"RISK")</f>
        <v>RISK</v>
      </c>
      <c r="H3" s="3">
        <f>IFERROR(__xludf.DUMMYFUNCTION("""COMPUTED_VALUE"""),40.0)</f>
        <v>40</v>
      </c>
      <c r="I3" s="3" t="str">
        <f>IFERROR(__xludf.DUMMYFUNCTION("""COMPUTED_VALUE"""),"DANGEROUS")</f>
        <v>DANGEROUS</v>
      </c>
      <c r="J3" s="4"/>
      <c r="K3" s="4"/>
      <c r="L3" s="4"/>
      <c r="M3" s="4">
        <f>IFERROR(__xludf.DUMMYFUNCTION("""COMPUTED_VALUE"""),10922.0)</f>
        <v>10922</v>
      </c>
      <c r="N3" s="4"/>
      <c r="O3" s="3"/>
      <c r="P3" s="3">
        <f>IFERROR(__xludf.DUMMYFUNCTION("""COMPUTED_VALUE"""),38542.0)</f>
        <v>38542</v>
      </c>
      <c r="Q3" s="3"/>
      <c r="R3" s="3"/>
      <c r="S3" s="3"/>
      <c r="T3" s="3"/>
      <c r="U3" s="3"/>
      <c r="V3" s="3"/>
      <c r="W3" s="3"/>
    </row>
    <row r="4">
      <c r="A4" s="3" t="str">
        <f>IFERROR(__xludf.DUMMYFUNCTION("""COMPUTED_VALUE"""),"SARIKA EXCLUSIVE")</f>
        <v>SARIKA EXCLUSIVE</v>
      </c>
      <c r="B4" s="3" t="str">
        <f>IFERROR(__xludf.DUMMYFUNCTION("""COMPUTED_VALUE"""),"UMAKANT")</f>
        <v>UMAKANT</v>
      </c>
      <c r="C4" s="3">
        <f>IFERROR(__xludf.DUMMYFUNCTION("""COMPUTED_VALUE"""),8.923478698E9)</f>
        <v>8923478698</v>
      </c>
      <c r="D4" s="4">
        <f>IFERROR(__xludf.DUMMYFUNCTION("""COMPUTED_VALUE"""),49899.1)</f>
        <v>49899.1</v>
      </c>
      <c r="E4" s="3">
        <f>IFERROR(__xludf.DUMMYFUNCTION("""COMPUTED_VALUE"""),216.0)</f>
        <v>216</v>
      </c>
      <c r="F4" s="3">
        <f>IFERROR(__xludf.DUMMYFUNCTION("""COMPUTED_VALUE"""),100000.0)</f>
        <v>100000</v>
      </c>
      <c r="G4" s="3" t="str">
        <f>IFERROR(__xludf.DUMMYFUNCTION("""COMPUTED_VALUE"""),"RISK")</f>
        <v>RISK</v>
      </c>
      <c r="H4" s="3">
        <f>IFERROR(__xludf.DUMMYFUNCTION("""COMPUTED_VALUE"""),40.0)</f>
        <v>40</v>
      </c>
      <c r="I4" s="3" t="str">
        <f>IFERROR(__xludf.DUMMYFUNCTION("""COMPUTED_VALUE"""),"DANGEROUS")</f>
        <v>DANGEROUS</v>
      </c>
      <c r="J4" s="4"/>
      <c r="K4" s="4"/>
      <c r="L4" s="4"/>
      <c r="M4" s="4"/>
      <c r="N4" s="4"/>
      <c r="O4" s="3"/>
      <c r="P4" s="3">
        <f>IFERROR(__xludf.DUMMYFUNCTION("""COMPUTED_VALUE"""),632.1)</f>
        <v>632.1</v>
      </c>
      <c r="Q4" s="3">
        <f>IFERROR(__xludf.DUMMYFUNCTION("""COMPUTED_VALUE"""),49267.0)</f>
        <v>49267</v>
      </c>
      <c r="R4" s="3"/>
      <c r="S4" s="3"/>
      <c r="T4" s="3"/>
      <c r="U4" s="3"/>
      <c r="V4" s="3"/>
      <c r="W4" s="3"/>
    </row>
    <row r="5">
      <c r="A5" s="3" t="str">
        <f>IFERROR(__xludf.DUMMYFUNCTION("""COMPUTED_VALUE"""),"FRIENDS COLLECTION")</f>
        <v>FRIENDS COLLECTION</v>
      </c>
      <c r="B5" s="3" t="str">
        <f>IFERROR(__xludf.DUMMYFUNCTION("""COMPUTED_VALUE"""),"UMAKANT")</f>
        <v>UMAKANT</v>
      </c>
      <c r="C5" s="3">
        <f>IFERROR(__xludf.DUMMYFUNCTION("""COMPUTED_VALUE"""),9.690979999E9)</f>
        <v>9690979999</v>
      </c>
      <c r="D5" s="4">
        <f>IFERROR(__xludf.DUMMYFUNCTION("""COMPUTED_VALUE"""),50000.0)</f>
        <v>50000</v>
      </c>
      <c r="E5" s="3">
        <f>IFERROR(__xludf.DUMMYFUNCTION("""COMPUTED_VALUE"""),213.0)</f>
        <v>213</v>
      </c>
      <c r="F5" s="3">
        <f>IFERROR(__xludf.DUMMYFUNCTION("""COMPUTED_VALUE"""),200000.0)</f>
        <v>200000</v>
      </c>
      <c r="G5" s="3" t="str">
        <f>IFERROR(__xludf.DUMMYFUNCTION("""COMPUTED_VALUE"""),"RISK")</f>
        <v>RISK</v>
      </c>
      <c r="H5" s="3">
        <f>IFERROR(__xludf.DUMMYFUNCTION("""COMPUTED_VALUE"""),40.0)</f>
        <v>40</v>
      </c>
      <c r="I5" s="3" t="str">
        <f>IFERROR(__xludf.DUMMYFUNCTION("""COMPUTED_VALUE"""),"DANGEROUS")</f>
        <v>DANGEROUS</v>
      </c>
      <c r="J5" s="4"/>
      <c r="K5" s="4"/>
      <c r="L5" s="4"/>
      <c r="M5" s="4"/>
      <c r="N5" s="4"/>
      <c r="O5" s="3"/>
      <c r="P5" s="3">
        <f>IFERROR(__xludf.DUMMYFUNCTION("""COMPUTED_VALUE"""),26.0)</f>
        <v>26</v>
      </c>
      <c r="Q5" s="3"/>
      <c r="R5" s="3">
        <f>IFERROR(__xludf.DUMMYFUNCTION("""COMPUTED_VALUE"""),1690.0)</f>
        <v>1690</v>
      </c>
      <c r="S5" s="3">
        <f>IFERROR(__xludf.DUMMYFUNCTION("""COMPUTED_VALUE"""),48284.0)</f>
        <v>48284</v>
      </c>
      <c r="T5" s="3"/>
      <c r="U5" s="3"/>
      <c r="V5" s="3"/>
      <c r="W5" s="3"/>
    </row>
    <row r="6">
      <c r="A6" s="3" t="str">
        <f>IFERROR(__xludf.DUMMYFUNCTION("""COMPUTED_VALUE"""),"SHRAYAS COLLECTION")</f>
        <v>SHRAYAS COLLECTION</v>
      </c>
      <c r="B6" s="3" t="str">
        <f>IFERROR(__xludf.DUMMYFUNCTION("""COMPUTED_VALUE"""),"UMAKANT")</f>
        <v>UMAKANT</v>
      </c>
      <c r="C6" s="3">
        <f>IFERROR(__xludf.DUMMYFUNCTION("""COMPUTED_VALUE"""),9.917110001E9)</f>
        <v>9917110001</v>
      </c>
      <c r="D6" s="4">
        <f>IFERROR(__xludf.DUMMYFUNCTION("""COMPUTED_VALUE"""),3039.0)</f>
        <v>3039</v>
      </c>
      <c r="E6" s="3">
        <f>IFERROR(__xludf.DUMMYFUNCTION("""COMPUTED_VALUE"""),194.0)</f>
        <v>194</v>
      </c>
      <c r="F6" s="3">
        <f>IFERROR(__xludf.DUMMYFUNCTION("""COMPUTED_VALUE"""),200000.0)</f>
        <v>200000</v>
      </c>
      <c r="G6" s="3" t="str">
        <f>IFERROR(__xludf.DUMMYFUNCTION("""COMPUTED_VALUE"""),"RISK")</f>
        <v>RISK</v>
      </c>
      <c r="H6" s="3">
        <f>IFERROR(__xludf.DUMMYFUNCTION("""COMPUTED_VALUE"""),40.0)</f>
        <v>40</v>
      </c>
      <c r="I6" s="3" t="str">
        <f>IFERROR(__xludf.DUMMYFUNCTION("""COMPUTED_VALUE"""),"DANGEROUS")</f>
        <v>DANGEROUS</v>
      </c>
      <c r="J6" s="4"/>
      <c r="K6" s="4"/>
      <c r="L6" s="4"/>
      <c r="M6" s="4"/>
      <c r="N6" s="4"/>
      <c r="O6" s="3"/>
      <c r="P6" s="3"/>
      <c r="Q6" s="3">
        <f>IFERROR(__xludf.DUMMYFUNCTION("""COMPUTED_VALUE"""),3039.0)</f>
        <v>3039</v>
      </c>
      <c r="R6" s="3"/>
      <c r="S6" s="3"/>
      <c r="T6" s="3"/>
      <c r="U6" s="3"/>
      <c r="V6" s="3"/>
      <c r="W6" s="3"/>
    </row>
    <row r="7">
      <c r="A7" s="3" t="str">
        <f>IFERROR(__xludf.DUMMYFUNCTION("""COMPUTED_VALUE"""),"NEW KHALSA GARMENTS DHAMPUR")</f>
        <v>NEW KHALSA GARMENTS DHAMPUR</v>
      </c>
      <c r="B7" s="3" t="str">
        <f>IFERROR(__xludf.DUMMYFUNCTION("""COMPUTED_VALUE"""),"UMAKANT")</f>
        <v>UMAKANT</v>
      </c>
      <c r="C7" s="3">
        <f>IFERROR(__xludf.DUMMYFUNCTION("""COMPUTED_VALUE"""),8.21886632E9)</f>
        <v>8218866320</v>
      </c>
      <c r="D7" s="4">
        <f>IFERROR(__xludf.DUMMYFUNCTION("""COMPUTED_VALUE"""),55831.0)</f>
        <v>55831</v>
      </c>
      <c r="E7" s="3">
        <f>IFERROR(__xludf.DUMMYFUNCTION("""COMPUTED_VALUE"""),193.0)</f>
        <v>193</v>
      </c>
      <c r="F7" s="3">
        <f>IFERROR(__xludf.DUMMYFUNCTION("""COMPUTED_VALUE"""),200000.0)</f>
        <v>200000</v>
      </c>
      <c r="G7" s="3" t="str">
        <f>IFERROR(__xludf.DUMMYFUNCTION("""COMPUTED_VALUE"""),"RISK")</f>
        <v>RISK</v>
      </c>
      <c r="H7" s="3">
        <f>IFERROR(__xludf.DUMMYFUNCTION("""COMPUTED_VALUE"""),40.0)</f>
        <v>40</v>
      </c>
      <c r="I7" s="3" t="str">
        <f>IFERROR(__xludf.DUMMYFUNCTION("""COMPUTED_VALUE"""),"DANGEROUS")</f>
        <v>DANGEROUS</v>
      </c>
      <c r="J7" s="4"/>
      <c r="K7" s="4"/>
      <c r="L7" s="4"/>
      <c r="M7" s="4"/>
      <c r="N7" s="4"/>
      <c r="O7" s="3"/>
      <c r="P7" s="3"/>
      <c r="Q7" s="3">
        <f>IFERROR(__xludf.DUMMYFUNCTION("""COMPUTED_VALUE"""),11656.0)</f>
        <v>11656</v>
      </c>
      <c r="R7" s="3"/>
      <c r="S7" s="3"/>
      <c r="T7" s="3"/>
      <c r="U7" s="3">
        <f>IFERROR(__xludf.DUMMYFUNCTION("""COMPUTED_VALUE"""),44175.0)</f>
        <v>44175</v>
      </c>
      <c r="V7" s="3"/>
      <c r="W7" s="3"/>
    </row>
    <row r="8">
      <c r="A8" s="3" t="str">
        <f>IFERROR(__xludf.DUMMYFUNCTION("""COMPUTED_VALUE"""),"NS FASHION HUB")</f>
        <v>NS FASHION HUB</v>
      </c>
      <c r="B8" s="3" t="str">
        <f>IFERROR(__xludf.DUMMYFUNCTION("""COMPUTED_VALUE"""),"UMAKANT")</f>
        <v>UMAKANT</v>
      </c>
      <c r="C8" s="3">
        <f>IFERROR(__xludf.DUMMYFUNCTION("""COMPUTED_VALUE"""),9.548508777E9)</f>
        <v>9548508777</v>
      </c>
      <c r="D8" s="4">
        <f>IFERROR(__xludf.DUMMYFUNCTION("""COMPUTED_VALUE"""),63081.0)</f>
        <v>63081</v>
      </c>
      <c r="E8" s="3">
        <f>IFERROR(__xludf.DUMMYFUNCTION("""COMPUTED_VALUE"""),185.0)</f>
        <v>185</v>
      </c>
      <c r="F8" s="3">
        <f>IFERROR(__xludf.DUMMYFUNCTION("""COMPUTED_VALUE"""),100000.0)</f>
        <v>100000</v>
      </c>
      <c r="G8" s="3" t="str">
        <f>IFERROR(__xludf.DUMMYFUNCTION("""COMPUTED_VALUE"""),"RISK")</f>
        <v>RISK</v>
      </c>
      <c r="H8" s="3">
        <f>IFERROR(__xludf.DUMMYFUNCTION("""COMPUTED_VALUE"""),50.0)</f>
        <v>50</v>
      </c>
      <c r="I8" s="3" t="str">
        <f>IFERROR(__xludf.DUMMYFUNCTION("""COMPUTED_VALUE"""),"DANGEROUS")</f>
        <v>DANGEROUS</v>
      </c>
      <c r="J8" s="4"/>
      <c r="K8" s="4"/>
      <c r="L8" s="4"/>
      <c r="M8" s="4"/>
      <c r="N8" s="4"/>
      <c r="O8" s="3"/>
      <c r="P8" s="3"/>
      <c r="Q8" s="3">
        <f>IFERROR(__xludf.DUMMYFUNCTION("""COMPUTED_VALUE"""),63081.0)</f>
        <v>63081</v>
      </c>
      <c r="R8" s="3"/>
      <c r="S8" s="3"/>
      <c r="T8" s="3"/>
      <c r="U8" s="3"/>
      <c r="V8" s="3"/>
      <c r="W8" s="3"/>
    </row>
    <row r="9">
      <c r="A9" s="3" t="str">
        <f>IFERROR(__xludf.DUMMYFUNCTION("""COMPUTED_VALUE"""),"H S PLAZA")</f>
        <v>H S PLAZA</v>
      </c>
      <c r="B9" s="3" t="str">
        <f>IFERROR(__xludf.DUMMYFUNCTION("""COMPUTED_VALUE"""),"UMAKANT")</f>
        <v>UMAKANT</v>
      </c>
      <c r="C9" s="3">
        <f>IFERROR(__xludf.DUMMYFUNCTION("""COMPUTED_VALUE"""),9.643214703E9)</f>
        <v>9643214703</v>
      </c>
      <c r="D9" s="4">
        <f>IFERROR(__xludf.DUMMYFUNCTION("""COMPUTED_VALUE"""),112757.0)</f>
        <v>112757</v>
      </c>
      <c r="E9" s="3">
        <f>IFERROR(__xludf.DUMMYFUNCTION("""COMPUTED_VALUE"""),182.0)</f>
        <v>182</v>
      </c>
      <c r="F9" s="3">
        <f>IFERROR(__xludf.DUMMYFUNCTION("""COMPUTED_VALUE"""),150000.0)</f>
        <v>150000</v>
      </c>
      <c r="G9" s="3" t="str">
        <f>IFERROR(__xludf.DUMMYFUNCTION("""COMPUTED_VALUE"""),"RISK")</f>
        <v>RISK</v>
      </c>
      <c r="H9" s="3">
        <f>IFERROR(__xludf.DUMMYFUNCTION("""COMPUTED_VALUE"""),40.0)</f>
        <v>40</v>
      </c>
      <c r="I9" s="3" t="str">
        <f>IFERROR(__xludf.DUMMYFUNCTION("""COMPUTED_VALUE"""),"DANGEROUS")</f>
        <v>DANGEROUS</v>
      </c>
      <c r="J9" s="4"/>
      <c r="K9" s="4"/>
      <c r="L9" s="4"/>
      <c r="M9" s="4"/>
      <c r="N9" s="4"/>
      <c r="O9" s="3"/>
      <c r="P9" s="3"/>
      <c r="Q9" s="3">
        <f>IFERROR(__xludf.DUMMYFUNCTION("""COMPUTED_VALUE"""),1916.0)</f>
        <v>1916</v>
      </c>
      <c r="R9" s="3"/>
      <c r="S9" s="3">
        <f>IFERROR(__xludf.DUMMYFUNCTION("""COMPUTED_VALUE"""),43865.0)</f>
        <v>43865</v>
      </c>
      <c r="T9" s="3"/>
      <c r="U9" s="3">
        <f>IFERROR(__xludf.DUMMYFUNCTION("""COMPUTED_VALUE"""),66976.0)</f>
        <v>66976</v>
      </c>
      <c r="V9" s="3"/>
      <c r="W9" s="3"/>
    </row>
    <row r="10">
      <c r="A10" s="3" t="str">
        <f>IFERROR(__xludf.DUMMYFUNCTION("""COMPUTED_VALUE"""),"FOLLOW ME")</f>
        <v>FOLLOW ME</v>
      </c>
      <c r="B10" s="3" t="str">
        <f>IFERROR(__xludf.DUMMYFUNCTION("""COMPUTED_VALUE"""),"UMAKANT")</f>
        <v>UMAKANT</v>
      </c>
      <c r="C10" s="3">
        <f>IFERROR(__xludf.DUMMYFUNCTION("""COMPUTED_VALUE"""),7.535905555E9)</f>
        <v>7535905555</v>
      </c>
      <c r="D10" s="4">
        <f>IFERROR(__xludf.DUMMYFUNCTION("""COMPUTED_VALUE"""),11165.0)</f>
        <v>11165</v>
      </c>
      <c r="E10" s="3">
        <f>IFERROR(__xludf.DUMMYFUNCTION("""COMPUTED_VALUE"""),167.0)</f>
        <v>167</v>
      </c>
      <c r="F10" s="3">
        <f>IFERROR(__xludf.DUMMYFUNCTION("""COMPUTED_VALUE"""),200000.0)</f>
        <v>200000</v>
      </c>
      <c r="G10" s="3" t="str">
        <f>IFERROR(__xludf.DUMMYFUNCTION("""COMPUTED_VALUE"""),"RISK")</f>
        <v>RISK</v>
      </c>
      <c r="H10" s="3">
        <f>IFERROR(__xludf.DUMMYFUNCTION("""COMPUTED_VALUE"""),40.0)</f>
        <v>40</v>
      </c>
      <c r="I10" s="3" t="str">
        <f>IFERROR(__xludf.DUMMYFUNCTION("""COMPUTED_VALUE"""),"DANGEROUS")</f>
        <v>DANGEROUS</v>
      </c>
      <c r="J10" s="4"/>
      <c r="K10" s="4"/>
      <c r="L10" s="4"/>
      <c r="M10" s="4"/>
      <c r="N10" s="4"/>
      <c r="O10" s="3"/>
      <c r="P10" s="3"/>
      <c r="Q10" s="3"/>
      <c r="R10" s="3">
        <f>IFERROR(__xludf.DUMMYFUNCTION("""COMPUTED_VALUE"""),11165.0)</f>
        <v>11165</v>
      </c>
      <c r="S10" s="3"/>
      <c r="T10" s="3"/>
      <c r="U10" s="3"/>
      <c r="V10" s="3"/>
      <c r="W10" s="3"/>
    </row>
    <row r="11">
      <c r="A11" s="3" t="str">
        <f>IFERROR(__xludf.DUMMYFUNCTION("""COMPUTED_VALUE"""),"MENZ CASUALS")</f>
        <v>MENZ CASUALS</v>
      </c>
      <c r="B11" s="3" t="str">
        <f>IFERROR(__xludf.DUMMYFUNCTION("""COMPUTED_VALUE"""),"UMAKANT")</f>
        <v>UMAKANT</v>
      </c>
      <c r="C11" s="3">
        <f>IFERROR(__xludf.DUMMYFUNCTION("""COMPUTED_VALUE"""),9.897674E10)</f>
        <v>98976740000</v>
      </c>
      <c r="D11" s="4">
        <f>IFERROR(__xludf.DUMMYFUNCTION("""COMPUTED_VALUE"""),1914.0)</f>
        <v>1914</v>
      </c>
      <c r="E11" s="3">
        <f>IFERROR(__xludf.DUMMYFUNCTION("""COMPUTED_VALUE"""),164.0)</f>
        <v>164</v>
      </c>
      <c r="F11" s="3">
        <f>IFERROR(__xludf.DUMMYFUNCTION("""COMPUTED_VALUE"""),300000.0)</f>
        <v>300000</v>
      </c>
      <c r="G11" s="3" t="str">
        <f>IFERROR(__xludf.DUMMYFUNCTION("""COMPUTED_VALUE"""),"RISK")</f>
        <v>RISK</v>
      </c>
      <c r="H11" s="3">
        <f>IFERROR(__xludf.DUMMYFUNCTION("""COMPUTED_VALUE"""),50.0)</f>
        <v>50</v>
      </c>
      <c r="I11" s="3" t="str">
        <f>IFERROR(__xludf.DUMMYFUNCTION("""COMPUTED_VALUE"""),"DANGEROUS")</f>
        <v>DANGEROUS</v>
      </c>
      <c r="J11" s="4"/>
      <c r="K11" s="4"/>
      <c r="L11" s="4"/>
      <c r="M11" s="4"/>
      <c r="N11" s="4"/>
      <c r="O11" s="3"/>
      <c r="P11" s="3"/>
      <c r="Q11" s="3"/>
      <c r="R11" s="3">
        <f>IFERROR(__xludf.DUMMYFUNCTION("""COMPUTED_VALUE"""),1914.0)</f>
        <v>1914</v>
      </c>
      <c r="S11" s="3"/>
      <c r="T11" s="3"/>
      <c r="U11" s="3"/>
      <c r="V11" s="3"/>
      <c r="W11" s="3"/>
    </row>
    <row r="12">
      <c r="A12" s="3" t="str">
        <f>IFERROR(__xludf.DUMMYFUNCTION("""COMPUTED_VALUE"""),"CITY FAISHON FLOOR")</f>
        <v>CITY FAISHON FLOOR</v>
      </c>
      <c r="B12" s="3" t="str">
        <f>IFERROR(__xludf.DUMMYFUNCTION("""COMPUTED_VALUE"""),"UMAKANT")</f>
        <v>UMAKANT</v>
      </c>
      <c r="C12" s="3">
        <f>IFERROR(__xludf.DUMMYFUNCTION("""COMPUTED_VALUE"""),9.897049046E9)</f>
        <v>9897049046</v>
      </c>
      <c r="D12" s="4">
        <f>IFERROR(__xludf.DUMMYFUNCTION("""COMPUTED_VALUE"""),121027.0)</f>
        <v>121027</v>
      </c>
      <c r="E12" s="3">
        <f>IFERROR(__xludf.DUMMYFUNCTION("""COMPUTED_VALUE"""),154.0)</f>
        <v>154</v>
      </c>
      <c r="F12" s="3">
        <f>IFERROR(__xludf.DUMMYFUNCTION("""COMPUTED_VALUE"""),300000.0)</f>
        <v>300000</v>
      </c>
      <c r="G12" s="3" t="str">
        <f>IFERROR(__xludf.DUMMYFUNCTION("""COMPUTED_VALUE"""),"RISK")</f>
        <v>RISK</v>
      </c>
      <c r="H12" s="3">
        <f>IFERROR(__xludf.DUMMYFUNCTION("""COMPUTED_VALUE"""),40.0)</f>
        <v>40</v>
      </c>
      <c r="I12" s="3" t="str">
        <f>IFERROR(__xludf.DUMMYFUNCTION("""COMPUTED_VALUE"""),"DANGEROUS")</f>
        <v>DANGEROUS</v>
      </c>
      <c r="J12" s="4"/>
      <c r="K12" s="4"/>
      <c r="L12" s="4"/>
      <c r="M12" s="4"/>
      <c r="N12" s="4"/>
      <c r="O12" s="3"/>
      <c r="P12" s="3"/>
      <c r="Q12" s="3"/>
      <c r="R12" s="3">
        <f>IFERROR(__xludf.DUMMYFUNCTION("""COMPUTED_VALUE"""),700.0)</f>
        <v>700</v>
      </c>
      <c r="S12" s="3"/>
      <c r="T12" s="3"/>
      <c r="U12" s="3">
        <f>IFERROR(__xludf.DUMMYFUNCTION("""COMPUTED_VALUE"""),120327.0)</f>
        <v>120327</v>
      </c>
      <c r="V12" s="3"/>
      <c r="W12" s="3"/>
    </row>
    <row r="13">
      <c r="A13" s="3" t="str">
        <f>IFERROR(__xludf.DUMMYFUNCTION("""COMPUTED_VALUE"""),"DEEPAK READYMADE SHOWROOM")</f>
        <v>DEEPAK READYMADE SHOWROOM</v>
      </c>
      <c r="B13" s="3" t="str">
        <f>IFERROR(__xludf.DUMMYFUNCTION("""COMPUTED_VALUE"""),"UMAKANT")</f>
        <v>UMAKANT</v>
      </c>
      <c r="C13" s="3">
        <f>IFERROR(__xludf.DUMMYFUNCTION("""COMPUTED_VALUE"""),9.027751818E9)</f>
        <v>9027751818</v>
      </c>
      <c r="D13" s="4">
        <f>IFERROR(__xludf.DUMMYFUNCTION("""COMPUTED_VALUE"""),738.0)</f>
        <v>738</v>
      </c>
      <c r="E13" s="3">
        <f>IFERROR(__xludf.DUMMYFUNCTION("""COMPUTED_VALUE"""),139.0)</f>
        <v>139</v>
      </c>
      <c r="F13" s="3">
        <f>IFERROR(__xludf.DUMMYFUNCTION("""COMPUTED_VALUE"""),400000.0)</f>
        <v>400000</v>
      </c>
      <c r="G13" s="3" t="str">
        <f>IFERROR(__xludf.DUMMYFUNCTION("""COMPUTED_VALUE"""),"RISK")</f>
        <v>RISK</v>
      </c>
      <c r="H13" s="3">
        <f>IFERROR(__xludf.DUMMYFUNCTION("""COMPUTED_VALUE"""),50.0)</f>
        <v>50</v>
      </c>
      <c r="I13" s="3" t="str">
        <f>IFERROR(__xludf.DUMMYFUNCTION("""COMPUTED_VALUE"""),"DANGEROUS")</f>
        <v>DANGEROUS</v>
      </c>
      <c r="J13" s="4"/>
      <c r="K13" s="4"/>
      <c r="L13" s="4"/>
      <c r="M13" s="4"/>
      <c r="N13" s="4"/>
      <c r="O13" s="3"/>
      <c r="P13" s="3"/>
      <c r="Q13" s="3"/>
      <c r="R13" s="3"/>
      <c r="S13" s="3">
        <f>IFERROR(__xludf.DUMMYFUNCTION("""COMPUTED_VALUE"""),738.0)</f>
        <v>738</v>
      </c>
      <c r="T13" s="3"/>
      <c r="U13" s="3"/>
      <c r="V13" s="3"/>
      <c r="W13" s="3"/>
    </row>
    <row r="14">
      <c r="A14" s="3" t="str">
        <f>IFERROR(__xludf.DUMMYFUNCTION("""COMPUTED_VALUE"""),"BOSS CASUAL WEAR SHOP")</f>
        <v>BOSS CASUAL WEAR SHOP</v>
      </c>
      <c r="B14" s="3" t="str">
        <f>IFERROR(__xludf.DUMMYFUNCTION("""COMPUTED_VALUE"""),"UMAKANT")</f>
        <v>UMAKANT</v>
      </c>
      <c r="C14" s="3">
        <f>IFERROR(__xludf.DUMMYFUNCTION("""COMPUTED_VALUE"""),9.599419095E9)</f>
        <v>9599419095</v>
      </c>
      <c r="D14" s="4">
        <f>IFERROR(__xludf.DUMMYFUNCTION("""COMPUTED_VALUE"""),237861.0)</f>
        <v>237861</v>
      </c>
      <c r="E14" s="3">
        <f>IFERROR(__xludf.DUMMYFUNCTION("""COMPUTED_VALUE"""),131.0)</f>
        <v>131</v>
      </c>
      <c r="F14" s="3">
        <f>IFERROR(__xludf.DUMMYFUNCTION("""COMPUTED_VALUE"""),300000.0)</f>
        <v>300000</v>
      </c>
      <c r="G14" s="3" t="str">
        <f>IFERROR(__xludf.DUMMYFUNCTION("""COMPUTED_VALUE"""),"RISK")</f>
        <v>RISK</v>
      </c>
      <c r="H14" s="3">
        <f>IFERROR(__xludf.DUMMYFUNCTION("""COMPUTED_VALUE"""),40.0)</f>
        <v>40</v>
      </c>
      <c r="I14" s="3" t="str">
        <f>IFERROR(__xludf.DUMMYFUNCTION("""COMPUTED_VALUE"""),"DANGEROUS")</f>
        <v>DANGEROUS</v>
      </c>
      <c r="J14" s="4"/>
      <c r="K14" s="4"/>
      <c r="L14" s="4"/>
      <c r="M14" s="4"/>
      <c r="N14" s="4"/>
      <c r="O14" s="3"/>
      <c r="P14" s="3"/>
      <c r="Q14" s="3"/>
      <c r="R14" s="3"/>
      <c r="S14" s="3">
        <f>IFERROR(__xludf.DUMMYFUNCTION("""COMPUTED_VALUE"""),2952.0)</f>
        <v>2952</v>
      </c>
      <c r="T14" s="3">
        <f>IFERROR(__xludf.DUMMYFUNCTION("""COMPUTED_VALUE"""),234909.0)</f>
        <v>234909</v>
      </c>
      <c r="U14" s="3"/>
      <c r="V14" s="3"/>
      <c r="W14" s="3"/>
    </row>
    <row r="15">
      <c r="A15" s="3" t="str">
        <f>IFERROR(__xludf.DUMMYFUNCTION("""COMPUTED_VALUE"""),"Ist LOOK")</f>
        <v>Ist LOOK</v>
      </c>
      <c r="B15" s="3" t="str">
        <f>IFERROR(__xludf.DUMMYFUNCTION("""COMPUTED_VALUE"""),"UMAKANT")</f>
        <v>UMAKANT</v>
      </c>
      <c r="C15" s="3">
        <f>IFERROR(__xludf.DUMMYFUNCTION("""COMPUTED_VALUE"""),9.89151786E9)</f>
        <v>9891517860</v>
      </c>
      <c r="D15" s="4">
        <f>IFERROR(__xludf.DUMMYFUNCTION("""COMPUTED_VALUE"""),39272.0)</f>
        <v>39272</v>
      </c>
      <c r="E15" s="3">
        <f>IFERROR(__xludf.DUMMYFUNCTION("""COMPUTED_VALUE"""),129.0)</f>
        <v>129</v>
      </c>
      <c r="F15" s="3">
        <f>IFERROR(__xludf.DUMMYFUNCTION("""COMPUTED_VALUE"""),200000.0)</f>
        <v>200000</v>
      </c>
      <c r="G15" s="3" t="str">
        <f>IFERROR(__xludf.DUMMYFUNCTION("""COMPUTED_VALUE"""),"NORMAL")</f>
        <v>NORMAL</v>
      </c>
      <c r="H15" s="3">
        <f>IFERROR(__xludf.DUMMYFUNCTION("""COMPUTED_VALUE"""),35.0)</f>
        <v>35</v>
      </c>
      <c r="I15" s="3" t="str">
        <f>IFERROR(__xludf.DUMMYFUNCTION("""COMPUTED_VALUE"""),"DANGEROUS")</f>
        <v>DANGEROUS</v>
      </c>
      <c r="J15" s="4"/>
      <c r="K15" s="4"/>
      <c r="L15" s="4"/>
      <c r="M15" s="4"/>
      <c r="N15" s="4"/>
      <c r="O15" s="3"/>
      <c r="P15" s="3"/>
      <c r="Q15" s="3"/>
      <c r="R15" s="3"/>
      <c r="S15" s="3">
        <f>IFERROR(__xludf.DUMMYFUNCTION("""COMPUTED_VALUE"""),2256.0)</f>
        <v>2256</v>
      </c>
      <c r="T15" s="3"/>
      <c r="U15" s="3">
        <f>IFERROR(__xludf.DUMMYFUNCTION("""COMPUTED_VALUE"""),37016.0)</f>
        <v>37016</v>
      </c>
      <c r="V15" s="3"/>
      <c r="W15" s="3"/>
    </row>
    <row r="16">
      <c r="A16" s="3" t="str">
        <f>IFERROR(__xludf.DUMMYFUNCTION("""COMPUTED_VALUE"""),"OCEANS FASHION WEAR")</f>
        <v>OCEANS FASHION WEAR</v>
      </c>
      <c r="B16" s="3" t="str">
        <f>IFERROR(__xludf.DUMMYFUNCTION("""COMPUTED_VALUE"""),"UMAKANT")</f>
        <v>UMAKANT</v>
      </c>
      <c r="C16" s="3">
        <f>IFERROR(__xludf.DUMMYFUNCTION("""COMPUTED_VALUE"""),9.359126283E9)</f>
        <v>9359126283</v>
      </c>
      <c r="D16" s="4">
        <f>IFERROR(__xludf.DUMMYFUNCTION("""COMPUTED_VALUE"""),156237.0)</f>
        <v>156237</v>
      </c>
      <c r="E16" s="3">
        <f>IFERROR(__xludf.DUMMYFUNCTION("""COMPUTED_VALUE"""),90.0)</f>
        <v>90</v>
      </c>
      <c r="F16" s="3">
        <f>IFERROR(__xludf.DUMMYFUNCTION("""COMPUTED_VALUE"""),300000.0)</f>
        <v>300000</v>
      </c>
      <c r="G16" s="3" t="str">
        <f>IFERROR(__xludf.DUMMYFUNCTION("""COMPUTED_VALUE"""),"NORMAL")</f>
        <v>NORMAL</v>
      </c>
      <c r="H16" s="3">
        <f>IFERROR(__xludf.DUMMYFUNCTION("""COMPUTED_VALUE"""),25.0)</f>
        <v>25</v>
      </c>
      <c r="I16" s="3" t="str">
        <f>IFERROR(__xludf.DUMMYFUNCTION("""COMPUTED_VALUE"""),"SLOW")</f>
        <v>SLOW</v>
      </c>
      <c r="J16" s="4"/>
      <c r="K16" s="4"/>
      <c r="L16" s="4"/>
      <c r="M16" s="4"/>
      <c r="N16" s="4"/>
      <c r="O16" s="3"/>
      <c r="P16" s="3"/>
      <c r="Q16" s="3"/>
      <c r="R16" s="3"/>
      <c r="S16" s="3"/>
      <c r="T16" s="3">
        <f>IFERROR(__xludf.DUMMYFUNCTION("""COMPUTED_VALUE"""),117999.0)</f>
        <v>117999</v>
      </c>
      <c r="U16" s="3">
        <f>IFERROR(__xludf.DUMMYFUNCTION("""COMPUTED_VALUE"""),38238.0)</f>
        <v>38238</v>
      </c>
      <c r="V16" s="3"/>
      <c r="W16" s="3"/>
    </row>
    <row r="17">
      <c r="A17" s="3" t="str">
        <f>IFERROR(__xludf.DUMMYFUNCTION("""COMPUTED_VALUE"""),"STYLE WORLD")</f>
        <v>STYLE WORLD</v>
      </c>
      <c r="B17" s="3" t="str">
        <f>IFERROR(__xludf.DUMMYFUNCTION("""COMPUTED_VALUE"""),"UMAKANT")</f>
        <v>UMAKANT</v>
      </c>
      <c r="C17" s="3">
        <f>IFERROR(__xludf.DUMMYFUNCTION("""COMPUTED_VALUE"""),9.897418964E9)</f>
        <v>9897418964</v>
      </c>
      <c r="D17" s="4">
        <f>IFERROR(__xludf.DUMMYFUNCTION("""COMPUTED_VALUE"""),30774.0)</f>
        <v>30774</v>
      </c>
      <c r="E17" s="3">
        <f>IFERROR(__xludf.DUMMYFUNCTION("""COMPUTED_VALUE"""),81.0)</f>
        <v>81</v>
      </c>
      <c r="F17" s="3">
        <f>IFERROR(__xludf.DUMMYFUNCTION("""COMPUTED_VALUE"""),300000.0)</f>
        <v>300000</v>
      </c>
      <c r="G17" s="3" t="str">
        <f>IFERROR(__xludf.DUMMYFUNCTION("""COMPUTED_VALUE"""),"NORMAL")</f>
        <v>NORMAL</v>
      </c>
      <c r="H17" s="3">
        <f>IFERROR(__xludf.DUMMYFUNCTION("""COMPUTED_VALUE"""),25.0)</f>
        <v>25</v>
      </c>
      <c r="I17" s="3" t="str">
        <f>IFERROR(__xludf.DUMMYFUNCTION("""COMPUTED_VALUE"""),"FALSE")</f>
        <v>FALSE</v>
      </c>
      <c r="J17" s="4"/>
      <c r="K17" s="4"/>
      <c r="L17" s="4"/>
      <c r="M17" s="4"/>
      <c r="N17" s="4"/>
      <c r="O17" s="3"/>
      <c r="P17" s="3"/>
      <c r="Q17" s="3"/>
      <c r="R17" s="3"/>
      <c r="S17" s="3"/>
      <c r="T17" s="3"/>
      <c r="U17" s="3">
        <f>IFERROR(__xludf.DUMMYFUNCTION("""COMPUTED_VALUE"""),30774.0)</f>
        <v>30774</v>
      </c>
      <c r="V17" s="3"/>
      <c r="W17" s="3"/>
    </row>
    <row r="18">
      <c r="A18" s="3" t="str">
        <f>IFERROR(__xludf.DUMMYFUNCTION("""COMPUTED_VALUE"""),"JANTA APPARELS")</f>
        <v>JANTA APPARELS</v>
      </c>
      <c r="B18" s="3" t="str">
        <f>IFERROR(__xludf.DUMMYFUNCTION("""COMPUTED_VALUE"""),"UMAKANT")</f>
        <v>UMAKANT</v>
      </c>
      <c r="C18" s="3">
        <f>IFERROR(__xludf.DUMMYFUNCTION("""COMPUTED_VALUE"""),9.927070708E9)</f>
        <v>9927070708</v>
      </c>
      <c r="D18" s="4">
        <f>IFERROR(__xludf.DUMMYFUNCTION("""COMPUTED_VALUE"""),88744.0)</f>
        <v>88744</v>
      </c>
      <c r="E18" s="3">
        <f>IFERROR(__xludf.DUMMYFUNCTION("""COMPUTED_VALUE"""),71.0)</f>
        <v>71</v>
      </c>
      <c r="F18" s="3">
        <f>IFERROR(__xludf.DUMMYFUNCTION("""COMPUTED_VALUE"""),300000.0)</f>
        <v>300000</v>
      </c>
      <c r="G18" s="3" t="str">
        <f>IFERROR(__xludf.DUMMYFUNCTION("""COMPUTED_VALUE"""),"NORMAL")</f>
        <v>NORMAL</v>
      </c>
      <c r="H18" s="3">
        <f>IFERROR(__xludf.DUMMYFUNCTION("""COMPUTED_VALUE"""),25.0)</f>
        <v>25</v>
      </c>
      <c r="I18" s="3" t="str">
        <f>IFERROR(__xludf.DUMMYFUNCTION("""COMPUTED_VALUE"""),"FALSE")</f>
        <v>FALSE</v>
      </c>
      <c r="J18" s="4"/>
      <c r="K18" s="4"/>
      <c r="L18" s="4"/>
      <c r="M18" s="4"/>
      <c r="N18" s="4"/>
      <c r="O18" s="3"/>
      <c r="P18" s="3"/>
      <c r="Q18" s="3"/>
      <c r="R18" s="3"/>
      <c r="S18" s="3"/>
      <c r="T18" s="3"/>
      <c r="U18" s="3">
        <f>IFERROR(__xludf.DUMMYFUNCTION("""COMPUTED_VALUE"""),88744.0)</f>
        <v>88744</v>
      </c>
      <c r="V18" s="3"/>
      <c r="W18" s="3"/>
    </row>
    <row r="19">
      <c r="A19" s="3" t="str">
        <f>IFERROR(__xludf.DUMMYFUNCTION("""COMPUTED_VALUE"""),"SETHI SONS")</f>
        <v>SETHI SONS</v>
      </c>
      <c r="B19" s="3" t="str">
        <f>IFERROR(__xludf.DUMMYFUNCTION("""COMPUTED_VALUE"""),"UMAKANT")</f>
        <v>UMAKANT</v>
      </c>
      <c r="C19" s="3">
        <f>IFERROR(__xludf.DUMMYFUNCTION("""COMPUTED_VALUE"""),8.474927408E9)</f>
        <v>8474927408</v>
      </c>
      <c r="D19" s="4">
        <f>IFERROR(__xludf.DUMMYFUNCTION("""COMPUTED_VALUE"""),31839.0)</f>
        <v>31839</v>
      </c>
      <c r="E19" s="3">
        <f>IFERROR(__xludf.DUMMYFUNCTION("""COMPUTED_VALUE"""),71.0)</f>
        <v>71</v>
      </c>
      <c r="F19" s="3">
        <f>IFERROR(__xludf.DUMMYFUNCTION("""COMPUTED_VALUE"""),300000.0)</f>
        <v>300000</v>
      </c>
      <c r="G19" s="3" t="str">
        <f>IFERROR(__xludf.DUMMYFUNCTION("""COMPUTED_VALUE"""),"NORMAL")</f>
        <v>NORMAL</v>
      </c>
      <c r="H19" s="3">
        <f>IFERROR(__xludf.DUMMYFUNCTION("""COMPUTED_VALUE"""),25.0)</f>
        <v>25</v>
      </c>
      <c r="I19" s="3" t="str">
        <f>IFERROR(__xludf.DUMMYFUNCTION("""COMPUTED_VALUE"""),"FALSE")</f>
        <v>FALSE</v>
      </c>
      <c r="J19" s="4"/>
      <c r="K19" s="4"/>
      <c r="L19" s="4"/>
      <c r="M19" s="4"/>
      <c r="N19" s="4"/>
      <c r="O19" s="3"/>
      <c r="P19" s="3"/>
      <c r="Q19" s="3"/>
      <c r="R19" s="3"/>
      <c r="S19" s="3"/>
      <c r="T19" s="3"/>
      <c r="U19" s="3">
        <f>IFERROR(__xludf.DUMMYFUNCTION("""COMPUTED_VALUE"""),31839.0)</f>
        <v>31839</v>
      </c>
      <c r="V19" s="3"/>
      <c r="W19" s="3"/>
    </row>
    <row r="20">
      <c r="A20" s="3" t="str">
        <f>IFERROR(__xludf.DUMMYFUNCTION("""COMPUTED_VALUE"""),"GARG &amp; COMPANY")</f>
        <v>GARG &amp; COMPANY</v>
      </c>
      <c r="B20" s="3" t="str">
        <f>IFERROR(__xludf.DUMMYFUNCTION("""COMPUTED_VALUE"""),"UMAKANT")</f>
        <v>UMAKANT</v>
      </c>
      <c r="C20" s="3">
        <f>IFERROR(__xludf.DUMMYFUNCTION("""COMPUTED_VALUE"""),9.91710093E9)</f>
        <v>9917100930</v>
      </c>
      <c r="D20" s="4">
        <f>IFERROR(__xludf.DUMMYFUNCTION("""COMPUTED_VALUE"""),67567.0)</f>
        <v>67567</v>
      </c>
      <c r="E20" s="3">
        <f>IFERROR(__xludf.DUMMYFUNCTION("""COMPUTED_VALUE"""),70.0)</f>
        <v>70</v>
      </c>
      <c r="F20" s="3">
        <f>IFERROR(__xludf.DUMMYFUNCTION("""COMPUTED_VALUE"""),300000.0)</f>
        <v>300000</v>
      </c>
      <c r="G20" s="3" t="str">
        <f>IFERROR(__xludf.DUMMYFUNCTION("""COMPUTED_VALUE"""),"NORMAL")</f>
        <v>NORMAL</v>
      </c>
      <c r="H20" s="3">
        <f>IFERROR(__xludf.DUMMYFUNCTION("""COMPUTED_VALUE"""),25.0)</f>
        <v>25</v>
      </c>
      <c r="I20" s="3" t="str">
        <f>IFERROR(__xludf.DUMMYFUNCTION("""COMPUTED_VALUE"""),"FALSE")</f>
        <v>FALSE</v>
      </c>
      <c r="J20" s="4"/>
      <c r="K20" s="4"/>
      <c r="L20" s="4"/>
      <c r="M20" s="4"/>
      <c r="N20" s="4"/>
      <c r="O20" s="3"/>
      <c r="P20" s="3"/>
      <c r="Q20" s="3"/>
      <c r="R20" s="3"/>
      <c r="S20" s="3"/>
      <c r="T20" s="3"/>
      <c r="U20" s="3">
        <f>IFERROR(__xludf.DUMMYFUNCTION("""COMPUTED_VALUE"""),67567.0)</f>
        <v>67567</v>
      </c>
      <c r="V20" s="3"/>
      <c r="W20" s="3"/>
    </row>
    <row r="21">
      <c r="A21" s="3" t="str">
        <f>IFERROR(__xludf.DUMMYFUNCTION("""COMPUTED_VALUE"""),"GOYAL GARMENTS")</f>
        <v>GOYAL GARMENTS</v>
      </c>
      <c r="B21" s="3" t="str">
        <f>IFERROR(__xludf.DUMMYFUNCTION("""COMPUTED_VALUE"""),"UMAKANT")</f>
        <v>UMAKANT</v>
      </c>
      <c r="C21" s="3">
        <f>IFERROR(__xludf.DUMMYFUNCTION("""COMPUTED_VALUE"""),9.927562834E9)</f>
        <v>9927562834</v>
      </c>
      <c r="D21" s="4">
        <f>IFERROR(__xludf.DUMMYFUNCTION("""COMPUTED_VALUE"""),82964.0)</f>
        <v>82964</v>
      </c>
      <c r="E21" s="3">
        <f>IFERROR(__xludf.DUMMYFUNCTION("""COMPUTED_VALUE"""),68.0)</f>
        <v>68</v>
      </c>
      <c r="F21" s="3">
        <f>IFERROR(__xludf.DUMMYFUNCTION("""COMPUTED_VALUE"""),300000.0)</f>
        <v>300000</v>
      </c>
      <c r="G21" s="3" t="str">
        <f>IFERROR(__xludf.DUMMYFUNCTION("""COMPUTED_VALUE"""),"NORMAL")</f>
        <v>NORMAL</v>
      </c>
      <c r="H21" s="3">
        <f>IFERROR(__xludf.DUMMYFUNCTION("""COMPUTED_VALUE"""),0.0)</f>
        <v>0</v>
      </c>
      <c r="I21" s="3" t="str">
        <f>IFERROR(__xludf.DUMMYFUNCTION("""COMPUTED_VALUE"""),"FALSE")</f>
        <v>FALSE</v>
      </c>
      <c r="J21" s="4"/>
      <c r="K21" s="4"/>
      <c r="L21" s="4"/>
      <c r="M21" s="4"/>
      <c r="N21" s="4"/>
      <c r="O21" s="3"/>
      <c r="P21" s="3"/>
      <c r="Q21" s="3"/>
      <c r="R21" s="3"/>
      <c r="S21" s="3"/>
      <c r="T21" s="3"/>
      <c r="U21" s="3">
        <f>IFERROR(__xludf.DUMMYFUNCTION("""COMPUTED_VALUE"""),82964.0)</f>
        <v>82964</v>
      </c>
      <c r="V21" s="3"/>
      <c r="W21" s="3"/>
    </row>
    <row r="22">
      <c r="A22" s="3" t="str">
        <f>IFERROR(__xludf.DUMMYFUNCTION("""COMPUTED_VALUE"""),"APSARA XCLUSIVE")</f>
        <v>APSARA XCLUSIVE</v>
      </c>
      <c r="B22" s="3" t="str">
        <f>IFERROR(__xludf.DUMMYFUNCTION("""COMPUTED_VALUE"""),"UMAKANT")</f>
        <v>UMAKANT</v>
      </c>
      <c r="C22" s="3">
        <f>IFERROR(__xludf.DUMMYFUNCTION("""COMPUTED_VALUE"""),9.917169358E9)</f>
        <v>9917169358</v>
      </c>
      <c r="D22" s="4">
        <f>IFERROR(__xludf.DUMMYFUNCTION("""COMPUTED_VALUE"""),63576.0)</f>
        <v>63576</v>
      </c>
      <c r="E22" s="3">
        <f>IFERROR(__xludf.DUMMYFUNCTION("""COMPUTED_VALUE"""),59.0)</f>
        <v>59</v>
      </c>
      <c r="F22" s="3">
        <f>IFERROR(__xludf.DUMMYFUNCTION("""COMPUTED_VALUE"""),300000.0)</f>
        <v>300000</v>
      </c>
      <c r="G22" s="3" t="str">
        <f>IFERROR(__xludf.DUMMYFUNCTION("""COMPUTED_VALUE"""),"NORMAL")</f>
        <v>NORMAL</v>
      </c>
      <c r="H22" s="3">
        <f>IFERROR(__xludf.DUMMYFUNCTION("""COMPUTED_VALUE"""),0.0)</f>
        <v>0</v>
      </c>
      <c r="I22" s="3" t="str">
        <f>IFERROR(__xludf.DUMMYFUNCTION("""COMPUTED_VALUE"""),"GOOD")</f>
        <v>GOOD</v>
      </c>
      <c r="J22" s="4"/>
      <c r="K22" s="4"/>
      <c r="L22" s="4"/>
      <c r="M22" s="4"/>
      <c r="N22" s="4"/>
      <c r="O22" s="3"/>
      <c r="P22" s="3"/>
      <c r="Q22" s="3"/>
      <c r="R22" s="3"/>
      <c r="S22" s="3"/>
      <c r="T22" s="3"/>
      <c r="U22" s="3">
        <f>IFERROR(__xludf.DUMMYFUNCTION("""COMPUTED_VALUE"""),63576.0)</f>
        <v>63576</v>
      </c>
      <c r="V22" s="3"/>
      <c r="W22" s="3"/>
    </row>
    <row r="23">
      <c r="A23" s="3" t="str">
        <f>IFERROR(__xludf.DUMMYFUNCTION("""COMPUTED_VALUE"""),"RajGharana Garments")</f>
        <v>RajGharana Garments</v>
      </c>
      <c r="B23" s="3" t="str">
        <f>IFERROR(__xludf.DUMMYFUNCTION("""COMPUTED_VALUE"""),"UMAKANT")</f>
        <v>UMAKANT</v>
      </c>
      <c r="C23" s="3">
        <f>IFERROR(__xludf.DUMMYFUNCTION("""COMPUTED_VALUE"""),9.917660456E9)</f>
        <v>9917660456</v>
      </c>
      <c r="D23" s="4">
        <f>IFERROR(__xludf.DUMMYFUNCTION("""COMPUTED_VALUE"""),41786.0)</f>
        <v>41786</v>
      </c>
      <c r="E23" s="3">
        <f>IFERROR(__xludf.DUMMYFUNCTION("""COMPUTED_VALUE"""),59.0)</f>
        <v>59</v>
      </c>
      <c r="F23" s="3">
        <f>IFERROR(__xludf.DUMMYFUNCTION("""COMPUTED_VALUE"""),300000.0)</f>
        <v>300000</v>
      </c>
      <c r="G23" s="3" t="str">
        <f>IFERROR(__xludf.DUMMYFUNCTION("""COMPUTED_VALUE"""),"NORMAL")</f>
        <v>NORMAL</v>
      </c>
      <c r="H23" s="3">
        <f>IFERROR(__xludf.DUMMYFUNCTION("""COMPUTED_VALUE"""),0.0)</f>
        <v>0</v>
      </c>
      <c r="I23" s="3" t="str">
        <f>IFERROR(__xludf.DUMMYFUNCTION("""COMPUTED_VALUE"""),"GOOD")</f>
        <v>GOOD</v>
      </c>
      <c r="J23" s="4"/>
      <c r="K23" s="4"/>
      <c r="L23" s="4"/>
      <c r="M23" s="4"/>
      <c r="N23" s="4"/>
      <c r="O23" s="3"/>
      <c r="P23" s="3"/>
      <c r="Q23" s="3"/>
      <c r="R23" s="3"/>
      <c r="S23" s="3"/>
      <c r="T23" s="3"/>
      <c r="U23" s="3">
        <f>IFERROR(__xludf.DUMMYFUNCTION("""COMPUTED_VALUE"""),41786.0)</f>
        <v>41786</v>
      </c>
      <c r="V23" s="3"/>
      <c r="W23" s="3"/>
    </row>
    <row r="24">
      <c r="A24" s="3" t="str">
        <f>IFERROR(__xludf.DUMMYFUNCTION("""COMPUTED_VALUE"""),"WORLD OF FASHION")</f>
        <v>WORLD OF FASHION</v>
      </c>
      <c r="B24" s="3" t="str">
        <f>IFERROR(__xludf.DUMMYFUNCTION("""COMPUTED_VALUE"""),"UMAKANT")</f>
        <v>UMAKANT</v>
      </c>
      <c r="C24" s="3">
        <f>IFERROR(__xludf.DUMMYFUNCTION("""COMPUTED_VALUE"""),9.528599416E9)</f>
        <v>9528599416</v>
      </c>
      <c r="D24" s="4">
        <f>IFERROR(__xludf.DUMMYFUNCTION("""COMPUTED_VALUE"""),34428.0)</f>
        <v>34428</v>
      </c>
      <c r="E24" s="3">
        <f>IFERROR(__xludf.DUMMYFUNCTION("""COMPUTED_VALUE"""),59.0)</f>
        <v>59</v>
      </c>
      <c r="F24" s="3">
        <f>IFERROR(__xludf.DUMMYFUNCTION("""COMPUTED_VALUE"""),300000.0)</f>
        <v>300000</v>
      </c>
      <c r="G24" s="3" t="str">
        <f>IFERROR(__xludf.DUMMYFUNCTION("""COMPUTED_VALUE"""),"RISK")</f>
        <v>RISK</v>
      </c>
      <c r="H24" s="3">
        <f>IFERROR(__xludf.DUMMYFUNCTION("""COMPUTED_VALUE"""),40.0)</f>
        <v>40</v>
      </c>
      <c r="I24" s="3" t="str">
        <f>IFERROR(__xludf.DUMMYFUNCTION("""COMPUTED_VALUE"""),"GOOD")</f>
        <v>GOOD</v>
      </c>
      <c r="J24" s="4"/>
      <c r="K24" s="4"/>
      <c r="L24" s="4"/>
      <c r="M24" s="4"/>
      <c r="N24" s="4"/>
      <c r="O24" s="3"/>
      <c r="P24" s="3"/>
      <c r="Q24" s="3"/>
      <c r="R24" s="3"/>
      <c r="S24" s="3"/>
      <c r="T24" s="3"/>
      <c r="U24" s="3">
        <f>IFERROR(__xludf.DUMMYFUNCTION("""COMPUTED_VALUE"""),34428.0)</f>
        <v>34428</v>
      </c>
      <c r="V24" s="3"/>
      <c r="W24" s="3"/>
    </row>
  </sheetData>
  <drawing r:id="rId1"/>
</worksheet>
</file>
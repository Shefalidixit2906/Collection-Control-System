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tr">
        <f>IFERROR(__xludf.DUMMYFUNCTION("QUERY(IMPORTRANGE(""1o4kGFTI80_EdoNgEzQs7R1-vO13rpAoNe3h9dk3MlSo"", ""AGEING_ANALYSIS!A1:W""), ""select * where lower(Col2) contains 'santosh'"", 1)"),"Dealer Name ")</f>
        <v>Dealer Name </v>
      </c>
      <c r="B1" s="1" t="str">
        <f>IFERROR(__xludf.DUMMYFUNCTION("""COMPUTED_VALUE"""),"Executive/Agent")</f>
        <v>Executive/Agent</v>
      </c>
      <c r="C1" s="1" t="str">
        <f>IFERROR(__xludf.DUMMYFUNCTION("""COMPUTED_VALUE"""),"Contact Number")</f>
        <v>Contact Number</v>
      </c>
      <c r="D1" s="1" t="str">
        <f>IFERROR(__xludf.DUMMYFUNCTION("""COMPUTED_VALUE"""),"Outstanding")</f>
        <v>Outstanding</v>
      </c>
      <c r="E1" s="1" t="str">
        <f>IFERROR(__xludf.DUMMYFUNCTION("""COMPUTED_VALUE"""),"Max Overdue")</f>
        <v>Max Overdue</v>
      </c>
      <c r="F1" s="1" t="str">
        <f>IFERROR(__xludf.DUMMYFUNCTION("""COMPUTED_VALUE"""),"Credit Limit")</f>
        <v>Credit Limit</v>
      </c>
      <c r="G1" s="1" t="str">
        <f>IFERROR(__xludf.DUMMYFUNCTION("""COMPUTED_VALUE"""),"Risk Flag")</f>
        <v>Risk Flag</v>
      </c>
      <c r="H1" s="1" t="str">
        <f>IFERROR(__xludf.DUMMYFUNCTION("""COMPUTED_VALUE"""),"Risk Score")</f>
        <v>Risk Score</v>
      </c>
      <c r="I1" s="1" t="str">
        <f>IFERROR(__xludf.DUMMYFUNCTION("""COMPUTED_VALUE"""),"Behaviour")</f>
        <v>Behaviour</v>
      </c>
      <c r="J1" s="1" t="str">
        <f>IFERROR(__xludf.DUMMYFUNCTION("""COMPUTED_VALUE"""),"February 25")</f>
        <v>February 25</v>
      </c>
      <c r="K1" s="1" t="str">
        <f>IFERROR(__xludf.DUMMYFUNCTION("""COMPUTED_VALUE"""),"March 25")</f>
        <v>March 25</v>
      </c>
      <c r="L1" s="1" t="str">
        <f>IFERROR(__xludf.DUMMYFUNCTION("""COMPUTED_VALUE"""),"April 25")</f>
        <v>April 25</v>
      </c>
      <c r="M1" s="1" t="str">
        <f>IFERROR(__xludf.DUMMYFUNCTION("""COMPUTED_VALUE"""),"May 25")</f>
        <v>May 25</v>
      </c>
      <c r="N1" s="1" t="str">
        <f>IFERROR(__xludf.DUMMYFUNCTION("""COMPUTED_VALUE"""),"June 25")</f>
        <v>June 25</v>
      </c>
      <c r="O1" s="1" t="str">
        <f>IFERROR(__xludf.DUMMYFUNCTION("""COMPUTED_VALUE"""),"July 25")</f>
        <v>July 25</v>
      </c>
      <c r="P1" s="1" t="str">
        <f>IFERROR(__xludf.DUMMYFUNCTION("""COMPUTED_VALUE"""),"August 25")</f>
        <v>August 25</v>
      </c>
      <c r="Q1" s="1" t="str">
        <f>IFERROR(__xludf.DUMMYFUNCTION("""COMPUTED_VALUE"""),"September 25")</f>
        <v>September 25</v>
      </c>
      <c r="R1" s="1" t="str">
        <f>IFERROR(__xludf.DUMMYFUNCTION("""COMPUTED_VALUE"""),"October 25")</f>
        <v>October 25</v>
      </c>
      <c r="S1" s="1" t="str">
        <f>IFERROR(__xludf.DUMMYFUNCTION("""COMPUTED_VALUE"""),"November 25")</f>
        <v>November 25</v>
      </c>
      <c r="T1" s="1" t="str">
        <f>IFERROR(__xludf.DUMMYFUNCTION("""COMPUTED_VALUE"""),"December 25")</f>
        <v>December 25</v>
      </c>
      <c r="U1" s="1" t="str">
        <f>IFERROR(__xludf.DUMMYFUNCTION("""COMPUTED_VALUE"""),"January 26")</f>
        <v>January 26</v>
      </c>
      <c r="V1" s="1" t="str">
        <f>IFERROR(__xludf.DUMMYFUNCTION("""COMPUTED_VALUE"""),"February 26")</f>
        <v>February 26</v>
      </c>
      <c r="W1" s="1" t="str">
        <f>IFERROR(__xludf.DUMMYFUNCTION("""COMPUTED_VALUE"""),"March 26")</f>
        <v>March 26</v>
      </c>
    </row>
    <row r="2">
      <c r="A2" s="2" t="str">
        <f>IFERROR(__xludf.DUMMYFUNCTION("""COMPUTED_VALUE"""),"MARUTI FABS")</f>
        <v>MARUTI FABS</v>
      </c>
      <c r="B2" s="2" t="str">
        <f>IFERROR(__xludf.DUMMYFUNCTION("""COMPUTED_VALUE"""),"SANTOSH GARG")</f>
        <v>SANTOSH GARG</v>
      </c>
      <c r="C2" s="2"/>
      <c r="D2" s="3">
        <f>IFERROR(__xludf.DUMMYFUNCTION("""COMPUTED_VALUE"""),52181.0)</f>
        <v>52181</v>
      </c>
      <c r="E2" s="2">
        <f>IFERROR(__xludf.DUMMYFUNCTION("""COMPUTED_VALUE"""),54.0)</f>
        <v>54</v>
      </c>
      <c r="F2" s="2"/>
      <c r="G2" s="2" t="str">
        <f>IFERROR(__xludf.DUMMYFUNCTION("""COMPUTED_VALUE"""),"RISK")</f>
        <v>RISK</v>
      </c>
      <c r="H2" s="2">
        <f>IFERROR(__xludf.DUMMYFUNCTION("""COMPUTED_VALUE"""),65.0)</f>
        <v>65</v>
      </c>
      <c r="I2" s="2" t="str">
        <f>IFERROR(__xludf.DUMMYFUNCTION("""COMPUTED_VALUE"""),"GOOD")</f>
        <v>GOOD</v>
      </c>
      <c r="J2" s="3"/>
      <c r="K2" s="3"/>
      <c r="L2" s="3"/>
      <c r="M2" s="3"/>
      <c r="N2" s="3"/>
      <c r="O2" s="2"/>
      <c r="P2" s="2"/>
      <c r="Q2" s="2"/>
      <c r="R2" s="2"/>
      <c r="S2" s="2">
        <f>IFERROR(__xludf.DUMMYFUNCTION("""COMPUTED_VALUE"""),52181.0)</f>
        <v>52181</v>
      </c>
      <c r="T2" s="2"/>
      <c r="U2" s="2"/>
      <c r="V2" s="2"/>
      <c r="W2" s="2"/>
    </row>
  </sheetData>
  <drawing r:id="rId1"/>
</worksheet>
</file>